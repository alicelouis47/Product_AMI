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duct\"/>
    </mc:Choice>
  </mc:AlternateContent>
  <xr:revisionPtr revIDLastSave="0" documentId="13_ncr:1_{13AB6CD2-74BB-4957-BC4D-07B03B98E2E2}" xr6:coauthVersionLast="47" xr6:coauthVersionMax="47" xr10:uidLastSave="{00000000-0000-0000-0000-000000000000}"/>
  <bookViews>
    <workbookView xWindow="-108" yWindow="-108" windowWidth="23256" windowHeight="12456" activeTab="1" xr2:uid="{984CE08E-D7AE-4019-BD2A-60BB9975BD25}"/>
  </bookViews>
  <sheets>
    <sheet name="4.3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I4" i="1"/>
  <c r="H5" i="1"/>
  <c r="I5" i="1"/>
  <c r="H6" i="1"/>
  <c r="I6" i="1"/>
  <c r="I3" i="1"/>
  <c r="K3" i="1"/>
  <c r="L3" i="1"/>
  <c r="L4" i="1"/>
  <c r="L5" i="1"/>
  <c r="L6" i="1"/>
  <c r="K4" i="1"/>
  <c r="K5" i="1"/>
  <c r="K6" i="1"/>
  <c r="J4" i="1"/>
  <c r="J5" i="1"/>
  <c r="J6" i="1"/>
  <c r="J3" i="1"/>
  <c r="G3" i="1"/>
  <c r="K8" i="1"/>
  <c r="L8" i="1"/>
  <c r="J8" i="1"/>
  <c r="J7" i="1"/>
  <c r="H7" i="1"/>
  <c r="I7" i="1"/>
  <c r="H3" i="1"/>
  <c r="N4" i="1"/>
  <c r="O4" i="1"/>
  <c r="P4" i="1"/>
  <c r="N5" i="1"/>
  <c r="O5" i="1"/>
  <c r="P5" i="1"/>
  <c r="N6" i="1"/>
  <c r="O6" i="1"/>
  <c r="P6" i="1"/>
  <c r="O3" i="1"/>
  <c r="P3" i="1"/>
  <c r="N3" i="1"/>
  <c r="G7" i="1"/>
  <c r="G4" i="1"/>
  <c r="G5" i="1"/>
  <c r="G6" i="1"/>
  <c r="K7" i="1" l="1"/>
  <c r="L7" i="1"/>
</calcChain>
</file>

<file path=xl/sharedStrings.xml><?xml version="1.0" encoding="utf-8"?>
<sst xmlns="http://schemas.openxmlformats.org/spreadsheetml/2006/main" count="31" uniqueCount="19">
  <si>
    <t>Product</t>
  </si>
  <si>
    <t>A</t>
  </si>
  <si>
    <t>B</t>
  </si>
  <si>
    <t>C</t>
  </si>
  <si>
    <t>D</t>
  </si>
  <si>
    <t>I_0</t>
  </si>
  <si>
    <t>R^kg</t>
  </si>
  <si>
    <t>ม.ค.</t>
  </si>
  <si>
    <t>ก.พ.</t>
  </si>
  <si>
    <t>มี.ค.</t>
  </si>
  <si>
    <t>FD</t>
  </si>
  <si>
    <t>d</t>
  </si>
  <si>
    <t>Inventory</t>
  </si>
  <si>
    <t>%^kg</t>
  </si>
  <si>
    <t>วัตถุดิบที่ต้องการ</t>
  </si>
  <si>
    <t>สำรอง</t>
  </si>
  <si>
    <t>Kg</t>
  </si>
  <si>
    <t>unit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</si>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</sst>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B9994-F90B-4DD4-BAF7-EC1618AD76C7}">
  <dimension ref="A1:P17"/>
  <sheetViews>
    <sheetView zoomScale="110" workbookViewId="0">
      <selection activeCell="O10" sqref="O10"/>
    </sheetView>
  </sheetViews>
  <sheetFormatPr defaultRowHeight="13.8" x14ac:dyDescent="0.25"/>
  <cols>
    <col min="1" max="1" width="6.8984375" bestFit="1" customWidth="1"/>
    <col min="2" max="2" width="4.19921875" bestFit="1" customWidth="1"/>
    <col min="3" max="3" width="5.19921875" bestFit="1" customWidth="1"/>
    <col min="4" max="4" width="4.09765625" bestFit="1" customWidth="1"/>
    <col min="5" max="5" width="4.296875" bestFit="1" customWidth="1"/>
    <col min="6" max="6" width="4.09765625" bestFit="1" customWidth="1"/>
    <col min="7" max="7" width="6.296875" bestFit="1" customWidth="1"/>
  </cols>
  <sheetData>
    <row r="1" spans="1:16" x14ac:dyDescent="0.25">
      <c r="D1" s="1" t="s">
        <v>10</v>
      </c>
      <c r="E1" s="1"/>
      <c r="F1" s="1"/>
      <c r="G1" s="1" t="s">
        <v>4</v>
      </c>
      <c r="H1" s="1"/>
      <c r="I1" s="1"/>
      <c r="J1" s="1" t="s">
        <v>11</v>
      </c>
      <c r="K1" s="1"/>
      <c r="L1" s="1"/>
      <c r="M1" s="1" t="s">
        <v>12</v>
      </c>
      <c r="N1" s="1"/>
      <c r="O1" s="1"/>
      <c r="P1" s="1"/>
    </row>
    <row r="2" spans="1:16" x14ac:dyDescent="0.25">
      <c r="A2" t="s">
        <v>0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7</v>
      </c>
      <c r="K2" t="s">
        <v>8</v>
      </c>
      <c r="L2" t="s">
        <v>9</v>
      </c>
      <c r="M2" t="s">
        <v>13</v>
      </c>
      <c r="N2" t="s">
        <v>7</v>
      </c>
      <c r="O2" t="s">
        <v>8</v>
      </c>
      <c r="P2" t="s">
        <v>9</v>
      </c>
    </row>
    <row r="3" spans="1:16" x14ac:dyDescent="0.25">
      <c r="A3" t="s">
        <v>1</v>
      </c>
      <c r="B3">
        <v>50</v>
      </c>
      <c r="C3">
        <v>8</v>
      </c>
      <c r="D3">
        <v>400</v>
      </c>
      <c r="E3">
        <v>350</v>
      </c>
      <c r="F3">
        <v>260</v>
      </c>
      <c r="G3">
        <f>D3-B3</f>
        <v>350</v>
      </c>
      <c r="H3">
        <f>E3-N3</f>
        <v>287</v>
      </c>
      <c r="I3">
        <f>F3-O3</f>
        <v>207</v>
      </c>
      <c r="J3">
        <f>G3+N3</f>
        <v>413</v>
      </c>
      <c r="K3">
        <f>H3+O3</f>
        <v>340</v>
      </c>
      <c r="L3">
        <f>I3+P3</f>
        <v>246</v>
      </c>
      <c r="M3">
        <v>12.5</v>
      </c>
      <c r="N3">
        <f>ROUND(($M3*J$10)/(100*$C3),0)</f>
        <v>63</v>
      </c>
      <c r="O3">
        <f t="shared" ref="O3:P3" si="0">ROUND(($M3*K$10)/(100*$C3),0)</f>
        <v>53</v>
      </c>
      <c r="P3">
        <f t="shared" si="0"/>
        <v>39</v>
      </c>
    </row>
    <row r="4" spans="1:16" x14ac:dyDescent="0.25">
      <c r="A4" t="s">
        <v>2</v>
      </c>
      <c r="B4">
        <v>100</v>
      </c>
      <c r="C4">
        <v>10</v>
      </c>
      <c r="D4">
        <v>520</v>
      </c>
      <c r="E4">
        <v>420</v>
      </c>
      <c r="F4">
        <v>310</v>
      </c>
      <c r="G4">
        <f t="shared" ref="G4:G6" si="1">D4-B4</f>
        <v>420</v>
      </c>
      <c r="H4">
        <f t="shared" ref="H4:H6" si="2">E4-N4</f>
        <v>319</v>
      </c>
      <c r="I4">
        <f t="shared" ref="I4:I6" si="3">F4-O4</f>
        <v>226</v>
      </c>
      <c r="J4">
        <f t="shared" ref="J4:L6" si="4">G4+N4</f>
        <v>521</v>
      </c>
      <c r="K4">
        <f t="shared" si="4"/>
        <v>403</v>
      </c>
      <c r="L4">
        <f t="shared" si="4"/>
        <v>288</v>
      </c>
      <c r="M4">
        <v>25</v>
      </c>
      <c r="N4">
        <f t="shared" ref="N4:N6" si="5">ROUND(($M4*J$10)/(100*$C4),0)</f>
        <v>101</v>
      </c>
      <c r="O4">
        <f t="shared" ref="O4:O6" si="6">ROUND(($M4*K$10)/(100*$C4),0)</f>
        <v>84</v>
      </c>
      <c r="P4">
        <f t="shared" ref="P4:P6" si="7">ROUND(($M4*L$10)/(100*$C4),0)</f>
        <v>62</v>
      </c>
    </row>
    <row r="5" spans="1:16" x14ac:dyDescent="0.25">
      <c r="A5" t="s">
        <v>3</v>
      </c>
      <c r="B5">
        <v>200</v>
      </c>
      <c r="C5">
        <v>12</v>
      </c>
      <c r="D5">
        <v>600</v>
      </c>
      <c r="E5">
        <v>500</v>
      </c>
      <c r="F5">
        <v>360</v>
      </c>
      <c r="G5">
        <f t="shared" si="1"/>
        <v>400</v>
      </c>
      <c r="H5">
        <f t="shared" si="2"/>
        <v>331</v>
      </c>
      <c r="I5">
        <f t="shared" si="3"/>
        <v>219</v>
      </c>
      <c r="J5">
        <f t="shared" si="4"/>
        <v>569</v>
      </c>
      <c r="K5">
        <f t="shared" si="4"/>
        <v>472</v>
      </c>
      <c r="L5">
        <f t="shared" si="4"/>
        <v>322</v>
      </c>
      <c r="M5">
        <v>50</v>
      </c>
      <c r="N5">
        <f t="shared" si="5"/>
        <v>169</v>
      </c>
      <c r="O5">
        <f t="shared" si="6"/>
        <v>141</v>
      </c>
      <c r="P5">
        <f t="shared" si="7"/>
        <v>103</v>
      </c>
    </row>
    <row r="6" spans="1:16" x14ac:dyDescent="0.25">
      <c r="A6" t="s">
        <v>4</v>
      </c>
      <c r="B6">
        <v>50</v>
      </c>
      <c r="C6">
        <v>6</v>
      </c>
      <c r="D6">
        <v>400</v>
      </c>
      <c r="E6">
        <v>335</v>
      </c>
      <c r="F6">
        <v>250</v>
      </c>
      <c r="G6">
        <f t="shared" si="1"/>
        <v>350</v>
      </c>
      <c r="H6">
        <f t="shared" si="2"/>
        <v>251</v>
      </c>
      <c r="I6">
        <f t="shared" si="3"/>
        <v>180</v>
      </c>
      <c r="J6">
        <f t="shared" si="4"/>
        <v>434</v>
      </c>
      <c r="K6">
        <f t="shared" si="4"/>
        <v>321</v>
      </c>
      <c r="L6">
        <f t="shared" si="4"/>
        <v>232</v>
      </c>
      <c r="M6">
        <v>12.5</v>
      </c>
      <c r="N6">
        <f t="shared" si="5"/>
        <v>84</v>
      </c>
      <c r="O6">
        <f t="shared" si="6"/>
        <v>70</v>
      </c>
      <c r="P6">
        <f t="shared" si="7"/>
        <v>52</v>
      </c>
    </row>
    <row r="7" spans="1:16" x14ac:dyDescent="0.25">
      <c r="D7" s="1" t="s">
        <v>14</v>
      </c>
      <c r="E7" s="1"/>
      <c r="F7" s="1"/>
      <c r="G7">
        <f>(0.8*G3+G4+1.2*G5+0.6*G6)*10</f>
        <v>13900</v>
      </c>
      <c r="H7">
        <f t="shared" ref="H7:J8" si="8">(0.8*H3+H4+1.2*H5+0.6*H6)*10</f>
        <v>10963.999999999998</v>
      </c>
      <c r="I7">
        <f t="shared" si="8"/>
        <v>7624.0000000000009</v>
      </c>
      <c r="J7">
        <f t="shared" si="8"/>
        <v>17946</v>
      </c>
      <c r="K7">
        <f t="shared" ref="K7" si="9">(0.8*K3+K4+1.2*K5+0.6*K6)*10</f>
        <v>14340</v>
      </c>
      <c r="L7">
        <f t="shared" ref="L7" si="10">(0.8*L3+L4+1.2*L5+0.6*L6)*10</f>
        <v>10104</v>
      </c>
    </row>
    <row r="8" spans="1:16" x14ac:dyDescent="0.25">
      <c r="D8" s="1" t="s">
        <v>15</v>
      </c>
      <c r="E8" s="1"/>
      <c r="F8" s="1"/>
      <c r="J8">
        <f>(0.8*N3+N4+1.2*N5+0.6*N6)*10</f>
        <v>4045.9999999999995</v>
      </c>
      <c r="K8">
        <f t="shared" ref="K8:L8" si="11">(0.8*O3+O4+1.2*O5+0.6*O6)*10</f>
        <v>3376</v>
      </c>
      <c r="L8">
        <f t="shared" si="11"/>
        <v>2480</v>
      </c>
    </row>
    <row r="9" spans="1:16" x14ac:dyDescent="0.25">
      <c r="D9" s="1" t="s">
        <v>14</v>
      </c>
      <c r="E9" s="1"/>
      <c r="F9" s="1"/>
      <c r="J9">
        <v>18500</v>
      </c>
      <c r="K9">
        <v>18750</v>
      </c>
      <c r="L9">
        <v>10000</v>
      </c>
    </row>
    <row r="10" spans="1:16" x14ac:dyDescent="0.25">
      <c r="D10" s="1" t="s">
        <v>15</v>
      </c>
      <c r="E10" s="1"/>
      <c r="F10" s="1"/>
      <c r="J10">
        <v>4050</v>
      </c>
      <c r="K10">
        <v>3375</v>
      </c>
      <c r="L10">
        <v>2475</v>
      </c>
    </row>
    <row r="16" spans="1:16" x14ac:dyDescent="0.25">
      <c r="K16" t="s">
        <v>16</v>
      </c>
      <c r="L16" t="s">
        <v>17</v>
      </c>
    </row>
    <row r="17" spans="12:12" x14ac:dyDescent="0.25">
      <c r="L17" t="s">
        <v>18</v>
      </c>
    </row>
  </sheetData>
  <mergeCells count="8">
    <mergeCell ref="D8:F8"/>
    <mergeCell ref="D9:F9"/>
    <mergeCell ref="D10:F10"/>
    <mergeCell ref="D1:F1"/>
    <mergeCell ref="G1:I1"/>
    <mergeCell ref="J1:L1"/>
    <mergeCell ref="M1:P1"/>
    <mergeCell ref="D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D545C-02AA-4FAB-A469-9663A677C6C5}">
  <dimension ref="A1"/>
  <sheetViews>
    <sheetView tabSelected="1"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4.3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Phakkhaphon Artburai</dc:creator>
  <cp:lastModifiedBy>Phakkhaphon Artburai</cp:lastModifiedBy>
  <dcterms:created xsi:type="dcterms:W3CDTF">2025-12-24T02:30:51Z</dcterms:created>
  <dcterms:modified xsi:type="dcterms:W3CDTF">2025-12-24T05:27:49Z</dcterms:modified>
</cp:coreProperties>
</file>