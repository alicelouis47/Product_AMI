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duct\"/>
    </mc:Choice>
  </mc:AlternateContent>
  <xr:revisionPtr revIDLastSave="0" documentId="13_ncr:1_{9C11E0D2-E542-4140-8542-70F6CA2A6F2A}" xr6:coauthVersionLast="47" xr6:coauthVersionMax="47" xr10:uidLastSave="{00000000-0000-0000-0000-000000000000}"/>
  <bookViews>
    <workbookView xWindow="-108" yWindow="-108" windowWidth="23256" windowHeight="12456" xr2:uid="{6A9E45DC-C312-4E47-9FEB-1FF5EFDB5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6" i="1"/>
  <c r="F6" i="1"/>
  <c r="G6" i="1"/>
  <c r="C6" i="1"/>
  <c r="Q31" i="1"/>
  <c r="R31" i="1"/>
  <c r="Q32" i="1"/>
  <c r="R32" i="1"/>
  <c r="N32" i="1"/>
  <c r="O32" i="1"/>
  <c r="P32" i="1"/>
  <c r="N31" i="1"/>
  <c r="O31" i="1"/>
  <c r="P31" i="1"/>
  <c r="O27" i="1"/>
  <c r="P27" i="1"/>
  <c r="Q27" i="1"/>
  <c r="R27" i="1"/>
  <c r="O28" i="1"/>
  <c r="P28" i="1"/>
  <c r="Q28" i="1"/>
  <c r="R28" i="1"/>
  <c r="N28" i="1"/>
  <c r="N27" i="1"/>
  <c r="O22" i="1"/>
  <c r="P22" i="1"/>
  <c r="Q22" i="1"/>
  <c r="R22" i="1"/>
  <c r="O23" i="1"/>
  <c r="P23" i="1"/>
  <c r="Q23" i="1"/>
  <c r="R23" i="1"/>
  <c r="N23" i="1"/>
  <c r="N22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O19" i="1" s="1"/>
  <c r="O21" i="1" s="1"/>
  <c r="P17" i="1"/>
  <c r="P19" i="1" s="1"/>
  <c r="P21" i="1" s="1"/>
  <c r="Q17" i="1"/>
  <c r="Q19" i="1" s="1"/>
  <c r="Q21" i="1" s="1"/>
  <c r="R17" i="1"/>
  <c r="N15" i="1"/>
  <c r="N16" i="1"/>
  <c r="N17" i="1"/>
  <c r="N14" i="1"/>
  <c r="D17" i="1"/>
  <c r="E17" i="1"/>
  <c r="F17" i="1"/>
  <c r="G17" i="1"/>
  <c r="D18" i="1"/>
  <c r="E18" i="1"/>
  <c r="F18" i="1"/>
  <c r="G18" i="1"/>
  <c r="C18" i="1"/>
  <c r="C17" i="1"/>
  <c r="D16" i="1"/>
  <c r="E16" i="1"/>
  <c r="F16" i="1"/>
  <c r="G16" i="1"/>
  <c r="C16" i="1"/>
  <c r="D15" i="1"/>
  <c r="E15" i="1"/>
  <c r="F15" i="1"/>
  <c r="G15" i="1"/>
  <c r="C15" i="1"/>
  <c r="N18" i="1" l="1"/>
  <c r="N20" i="1" s="1"/>
  <c r="N25" i="1" s="1"/>
  <c r="N19" i="1"/>
  <c r="N21" i="1" s="1"/>
  <c r="N26" i="1" s="1"/>
  <c r="O18" i="1"/>
  <c r="O20" i="1" s="1"/>
  <c r="R19" i="1"/>
  <c r="R21" i="1" s="1"/>
  <c r="R18" i="1"/>
  <c r="R20" i="1" s="1"/>
  <c r="Q18" i="1"/>
  <c r="Q20" i="1" s="1"/>
  <c r="P18" i="1"/>
  <c r="P20" i="1" s="1"/>
  <c r="R26" i="1"/>
  <c r="Q26" i="1"/>
  <c r="P26" i="1"/>
  <c r="O26" i="1"/>
  <c r="C19" i="1"/>
  <c r="C20" i="1" s="1"/>
  <c r="C21" i="1" s="1"/>
  <c r="C25" i="1" s="1"/>
  <c r="C26" i="1" s="1"/>
  <c r="C28" i="1" s="1"/>
  <c r="G19" i="1"/>
  <c r="G20" i="1" s="1"/>
  <c r="G21" i="1" s="1"/>
  <c r="G25" i="1" s="1"/>
  <c r="G26" i="1" s="1"/>
  <c r="G28" i="1" s="1"/>
  <c r="F19" i="1"/>
  <c r="F20" i="1" s="1"/>
  <c r="F21" i="1" s="1"/>
  <c r="F25" i="1" s="1"/>
  <c r="F26" i="1" s="1"/>
  <c r="F28" i="1" s="1"/>
  <c r="E19" i="1"/>
  <c r="E20" i="1" s="1"/>
  <c r="E21" i="1" s="1"/>
  <c r="E25" i="1" s="1"/>
  <c r="E26" i="1" s="1"/>
  <c r="E28" i="1" s="1"/>
  <c r="D19" i="1"/>
  <c r="D20" i="1" s="1"/>
  <c r="D21" i="1" s="1"/>
  <c r="D25" i="1" s="1"/>
  <c r="D26" i="1" s="1"/>
  <c r="D28" i="1" s="1"/>
  <c r="Q25" i="1" l="1"/>
  <c r="P25" i="1"/>
  <c r="R25" i="1"/>
  <c r="O25" i="1"/>
</calcChain>
</file>

<file path=xl/sharedStrings.xml><?xml version="1.0" encoding="utf-8"?>
<sst xmlns="http://schemas.openxmlformats.org/spreadsheetml/2006/main" count="58" uniqueCount="19">
  <si>
    <t>product</t>
  </si>
  <si>
    <t>แท้</t>
  </si>
  <si>
    <t>เทียม</t>
  </si>
  <si>
    <t>พนักงาน เครื่องจักร</t>
  </si>
  <si>
    <t>สัดส่วนเวลาผลิตจริง</t>
  </si>
  <si>
    <t>พนักงาน</t>
  </si>
  <si>
    <t>เครื่องจัก</t>
  </si>
  <si>
    <t>เย็บ</t>
  </si>
  <si>
    <t>ขึ้นรูป</t>
  </si>
  <si>
    <t>รวม</t>
  </si>
  <si>
    <t>steel head</t>
  </si>
  <si>
    <t>safe guard</t>
  </si>
  <si>
    <t>เครื่องจักร</t>
  </si>
  <si>
    <t>"=demand/(1-0.1)"</t>
  </si>
  <si>
    <t>"เวลาที่ผลิตจริง = 80% ของทั้งหมด"</t>
  </si>
  <si>
    <t>เวลา</t>
  </si>
  <si>
    <t>จน. คน</t>
  </si>
  <si>
    <t>ชม. ต่อวัน</t>
  </si>
  <si>
    <t>ปัจจุบัน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</si>
</sst>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9</xdr:col>
      <xdr:colOff>634524</xdr:colOff>
      <xdr:row>40</xdr:row>
      <xdr:rowOff>83852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80EFAD-D728-C6A4-A050-941EA734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00156"/>
          <a:ext cx="6690940" cy="15088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9</xdr:col>
      <xdr:colOff>550697</xdr:colOff>
      <xdr:row>52</xdr:row>
      <xdr:rowOff>139108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97921B-E853-70A5-4C6B-18E4F7BE2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81455"/>
          <a:ext cx="6607113" cy="192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47C4-3809-4E8E-94C0-A46763D1F78B}">
  <dimension ref="A1:R32"/>
  <sheetViews>
    <sheetView tabSelected="1" zoomScale="64" workbookViewId="0">
      <selection activeCell="L4" sqref="L4"/>
    </sheetView>
  </sheetViews>
  <sheetFormatPr defaultRowHeight="13.8" x14ac:dyDescent="0.25"/>
  <sheetData>
    <row r="1" spans="1:18" x14ac:dyDescent="0.25">
      <c r="A1" t="s">
        <v>0</v>
      </c>
      <c r="C1">
        <v>1</v>
      </c>
      <c r="D1">
        <v>2</v>
      </c>
      <c r="E1">
        <v>3</v>
      </c>
      <c r="F1">
        <v>4</v>
      </c>
      <c r="G1">
        <v>5</v>
      </c>
      <c r="H1" t="s">
        <v>7</v>
      </c>
      <c r="I1" t="s">
        <v>8</v>
      </c>
    </row>
    <row r="2" spans="1:18" x14ac:dyDescent="0.25">
      <c r="A2" s="1" t="s">
        <v>10</v>
      </c>
      <c r="B2" t="s">
        <v>1</v>
      </c>
      <c r="C2">
        <v>50</v>
      </c>
      <c r="D2">
        <v>60</v>
      </c>
      <c r="E2">
        <v>80</v>
      </c>
      <c r="F2">
        <v>90</v>
      </c>
      <c r="G2">
        <v>100</v>
      </c>
      <c r="H2">
        <v>0.3</v>
      </c>
      <c r="I2">
        <v>0.05</v>
      </c>
    </row>
    <row r="3" spans="1:18" x14ac:dyDescent="0.25">
      <c r="A3" s="1"/>
      <c r="B3" t="s">
        <v>2</v>
      </c>
      <c r="C3">
        <v>40</v>
      </c>
      <c r="D3">
        <v>45</v>
      </c>
      <c r="E3">
        <v>45</v>
      </c>
      <c r="F3">
        <v>45</v>
      </c>
      <c r="G3">
        <v>45</v>
      </c>
      <c r="H3">
        <v>0.15</v>
      </c>
      <c r="I3">
        <v>2.5000000000000001E-2</v>
      </c>
    </row>
    <row r="4" spans="1:18" x14ac:dyDescent="0.25">
      <c r="A4" s="1" t="s">
        <v>11</v>
      </c>
      <c r="B4" t="s">
        <v>1</v>
      </c>
      <c r="C4">
        <v>56</v>
      </c>
      <c r="D4">
        <v>75</v>
      </c>
      <c r="E4">
        <v>80</v>
      </c>
      <c r="F4">
        <v>90</v>
      </c>
      <c r="G4">
        <v>100</v>
      </c>
      <c r="H4">
        <v>0.25</v>
      </c>
      <c r="I4">
        <v>0.06</v>
      </c>
    </row>
    <row r="5" spans="1:18" x14ac:dyDescent="0.25">
      <c r="A5" s="1"/>
      <c r="B5" t="s">
        <v>2</v>
      </c>
      <c r="C5">
        <v>20</v>
      </c>
      <c r="D5">
        <v>25</v>
      </c>
      <c r="E5">
        <v>25</v>
      </c>
      <c r="F5">
        <v>30</v>
      </c>
      <c r="G5">
        <v>32</v>
      </c>
      <c r="H5">
        <v>0.22</v>
      </c>
      <c r="I5">
        <v>0.04</v>
      </c>
    </row>
    <row r="6" spans="1:18" x14ac:dyDescent="0.25">
      <c r="B6" t="s">
        <v>9</v>
      </c>
      <c r="C6">
        <f>SUM(C2:C5)</f>
        <v>166</v>
      </c>
      <c r="D6">
        <f t="shared" ref="D6:G6" si="0">SUM(D2:D5)</f>
        <v>205</v>
      </c>
      <c r="E6">
        <f t="shared" si="0"/>
        <v>230</v>
      </c>
      <c r="F6">
        <f t="shared" si="0"/>
        <v>255</v>
      </c>
      <c r="G6">
        <f t="shared" si="0"/>
        <v>277</v>
      </c>
    </row>
    <row r="8" spans="1:18" x14ac:dyDescent="0.25">
      <c r="A8" t="s">
        <v>3</v>
      </c>
      <c r="B8" t="s">
        <v>7</v>
      </c>
      <c r="C8" t="s">
        <v>8</v>
      </c>
      <c r="I8" t="s">
        <v>4</v>
      </c>
    </row>
    <row r="9" spans="1:18" x14ac:dyDescent="0.25">
      <c r="A9" t="s">
        <v>5</v>
      </c>
      <c r="B9">
        <v>8</v>
      </c>
      <c r="I9" t="s">
        <v>5</v>
      </c>
      <c r="J9">
        <v>0.8</v>
      </c>
    </row>
    <row r="10" spans="1:18" x14ac:dyDescent="0.25">
      <c r="I10" t="s">
        <v>6</v>
      </c>
      <c r="J10">
        <v>0.9</v>
      </c>
    </row>
    <row r="11" spans="1:18" x14ac:dyDescent="0.25">
      <c r="A11" t="s">
        <v>12</v>
      </c>
      <c r="D11" t="s">
        <v>1</v>
      </c>
    </row>
    <row r="12" spans="1:18" x14ac:dyDescent="0.25">
      <c r="D12" t="s">
        <v>2</v>
      </c>
    </row>
    <row r="13" spans="1:18" x14ac:dyDescent="0.25">
      <c r="A13" t="s">
        <v>7</v>
      </c>
      <c r="L13" t="s">
        <v>8</v>
      </c>
      <c r="N13">
        <v>1</v>
      </c>
      <c r="O13">
        <v>2</v>
      </c>
      <c r="P13">
        <v>3</v>
      </c>
      <c r="Q13">
        <v>4</v>
      </c>
      <c r="R13">
        <v>5</v>
      </c>
    </row>
    <row r="14" spans="1:18" x14ac:dyDescent="0.25">
      <c r="C14">
        <v>1</v>
      </c>
      <c r="D14">
        <v>2</v>
      </c>
      <c r="E14">
        <v>3</v>
      </c>
      <c r="F14">
        <v>4</v>
      </c>
      <c r="G14">
        <v>5</v>
      </c>
      <c r="L14" s="1" t="s">
        <v>10</v>
      </c>
      <c r="M14" t="s">
        <v>1</v>
      </c>
      <c r="N14">
        <f>C2*$I2*1000</f>
        <v>2500</v>
      </c>
      <c r="O14">
        <f t="shared" ref="O14:R17" si="1">D2*$I2*1000</f>
        <v>3000</v>
      </c>
      <c r="P14">
        <f t="shared" si="1"/>
        <v>4000</v>
      </c>
      <c r="Q14">
        <f t="shared" si="1"/>
        <v>4500</v>
      </c>
      <c r="R14">
        <f t="shared" si="1"/>
        <v>5000</v>
      </c>
    </row>
    <row r="15" spans="1:18" x14ac:dyDescent="0.25">
      <c r="A15" s="1" t="s">
        <v>10</v>
      </c>
      <c r="B15" t="s">
        <v>1</v>
      </c>
      <c r="C15">
        <f>C2*$H2*1000</f>
        <v>15000</v>
      </c>
      <c r="D15">
        <f t="shared" ref="D15:G15" si="2">D2*$H2*1000</f>
        <v>18000</v>
      </c>
      <c r="E15">
        <f t="shared" si="2"/>
        <v>24000</v>
      </c>
      <c r="F15">
        <f t="shared" si="2"/>
        <v>27000</v>
      </c>
      <c r="G15">
        <f t="shared" si="2"/>
        <v>30000</v>
      </c>
      <c r="L15" s="1"/>
      <c r="M15" t="s">
        <v>2</v>
      </c>
      <c r="N15">
        <f t="shared" ref="N15:N17" si="3">C3*$I3*1000</f>
        <v>1000</v>
      </c>
      <c r="O15">
        <f t="shared" si="1"/>
        <v>1125</v>
      </c>
      <c r="P15">
        <f t="shared" si="1"/>
        <v>1125</v>
      </c>
      <c r="Q15">
        <f t="shared" si="1"/>
        <v>1125</v>
      </c>
      <c r="R15">
        <f t="shared" si="1"/>
        <v>1125</v>
      </c>
    </row>
    <row r="16" spans="1:18" x14ac:dyDescent="0.25">
      <c r="A16" s="1"/>
      <c r="B16" t="s">
        <v>2</v>
      </c>
      <c r="C16">
        <f>C3*$H3*1000</f>
        <v>6000</v>
      </c>
      <c r="D16">
        <f t="shared" ref="D16:G16" si="4">D3*$H3*1000</f>
        <v>6750</v>
      </c>
      <c r="E16">
        <f t="shared" si="4"/>
        <v>6750</v>
      </c>
      <c r="F16">
        <f t="shared" si="4"/>
        <v>6750</v>
      </c>
      <c r="G16">
        <f t="shared" si="4"/>
        <v>6750</v>
      </c>
      <c r="L16" s="1" t="s">
        <v>11</v>
      </c>
      <c r="M16" t="s">
        <v>1</v>
      </c>
      <c r="N16">
        <f t="shared" si="3"/>
        <v>3360</v>
      </c>
      <c r="O16">
        <f t="shared" si="1"/>
        <v>4500</v>
      </c>
      <c r="P16">
        <f t="shared" si="1"/>
        <v>4800</v>
      </c>
      <c r="Q16">
        <f t="shared" si="1"/>
        <v>5399.9999999999991</v>
      </c>
      <c r="R16">
        <f t="shared" si="1"/>
        <v>6000</v>
      </c>
    </row>
    <row r="17" spans="1:18" x14ac:dyDescent="0.25">
      <c r="A17" s="1" t="s">
        <v>11</v>
      </c>
      <c r="B17" t="s">
        <v>1</v>
      </c>
      <c r="C17">
        <f>C4*$H4*1000</f>
        <v>14000</v>
      </c>
      <c r="D17">
        <f t="shared" ref="D17:G17" si="5">D4*$H4*1000</f>
        <v>18750</v>
      </c>
      <c r="E17">
        <f t="shared" si="5"/>
        <v>20000</v>
      </c>
      <c r="F17">
        <f t="shared" si="5"/>
        <v>22500</v>
      </c>
      <c r="G17">
        <f t="shared" si="5"/>
        <v>25000</v>
      </c>
      <c r="L17" s="1"/>
      <c r="M17" t="s">
        <v>2</v>
      </c>
      <c r="N17">
        <f t="shared" si="3"/>
        <v>800</v>
      </c>
      <c r="O17">
        <f t="shared" si="1"/>
        <v>1000</v>
      </c>
      <c r="P17">
        <f t="shared" si="1"/>
        <v>1000</v>
      </c>
      <c r="Q17">
        <f t="shared" si="1"/>
        <v>1200</v>
      </c>
      <c r="R17">
        <f t="shared" si="1"/>
        <v>1280</v>
      </c>
    </row>
    <row r="18" spans="1:18" x14ac:dyDescent="0.25">
      <c r="A18" s="1"/>
      <c r="B18" t="s">
        <v>2</v>
      </c>
      <c r="C18">
        <f>C5*$H5*1000</f>
        <v>4400</v>
      </c>
      <c r="D18">
        <f t="shared" ref="D18:G18" si="6">D5*$H5*1000</f>
        <v>5500</v>
      </c>
      <c r="E18">
        <f t="shared" si="6"/>
        <v>5500</v>
      </c>
      <c r="F18">
        <f t="shared" si="6"/>
        <v>6600</v>
      </c>
      <c r="G18">
        <f t="shared" si="6"/>
        <v>7040</v>
      </c>
      <c r="L18" t="s">
        <v>9</v>
      </c>
      <c r="M18" t="s">
        <v>1</v>
      </c>
      <c r="N18">
        <f>N14+N16</f>
        <v>5860</v>
      </c>
      <c r="O18">
        <f t="shared" ref="O18:R19" si="7">O14+O16</f>
        <v>7500</v>
      </c>
      <c r="P18">
        <f t="shared" si="7"/>
        <v>8800</v>
      </c>
      <c r="Q18">
        <f t="shared" si="7"/>
        <v>9900</v>
      </c>
      <c r="R18">
        <f t="shared" si="7"/>
        <v>11000</v>
      </c>
    </row>
    <row r="19" spans="1:18" x14ac:dyDescent="0.25">
      <c r="B19" t="s">
        <v>9</v>
      </c>
      <c r="C19">
        <f>SUM(C15:C18)</f>
        <v>39400</v>
      </c>
      <c r="D19">
        <f t="shared" ref="D19:G19" si="8">SUM(D15:D18)</f>
        <v>49000</v>
      </c>
      <c r="E19">
        <f t="shared" si="8"/>
        <v>56250</v>
      </c>
      <c r="F19">
        <f t="shared" si="8"/>
        <v>62850</v>
      </c>
      <c r="G19">
        <f t="shared" si="8"/>
        <v>68790</v>
      </c>
      <c r="M19" t="s">
        <v>2</v>
      </c>
      <c r="N19">
        <f>N15+N17</f>
        <v>1800</v>
      </c>
      <c r="O19">
        <f t="shared" si="7"/>
        <v>2125</v>
      </c>
      <c r="P19">
        <f t="shared" si="7"/>
        <v>2125</v>
      </c>
      <c r="Q19">
        <f t="shared" si="7"/>
        <v>2325</v>
      </c>
      <c r="R19">
        <f t="shared" si="7"/>
        <v>2405</v>
      </c>
    </row>
    <row r="20" spans="1:18" x14ac:dyDescent="0.25">
      <c r="A20" s="2">
        <v>0.1</v>
      </c>
      <c r="C20">
        <f>C19/0.9</f>
        <v>43777.777777777774</v>
      </c>
      <c r="D20">
        <f t="shared" ref="D20:G20" si="9">D19/0.9</f>
        <v>54444.444444444445</v>
      </c>
      <c r="E20">
        <f t="shared" si="9"/>
        <v>62500</v>
      </c>
      <c r="F20">
        <f t="shared" si="9"/>
        <v>69833.333333333328</v>
      </c>
      <c r="G20">
        <f t="shared" si="9"/>
        <v>76433.333333333328</v>
      </c>
      <c r="H20" t="s">
        <v>13</v>
      </c>
      <c r="L20" s="2">
        <v>0.1</v>
      </c>
      <c r="M20" t="s">
        <v>1</v>
      </c>
      <c r="N20">
        <f>N18/0.9</f>
        <v>6511.1111111111113</v>
      </c>
      <c r="O20">
        <f t="shared" ref="O20:R20" si="10">O18/0.9</f>
        <v>8333.3333333333339</v>
      </c>
      <c r="P20">
        <f t="shared" si="10"/>
        <v>9777.7777777777774</v>
      </c>
      <c r="Q20">
        <f t="shared" si="10"/>
        <v>11000</v>
      </c>
      <c r="R20">
        <f t="shared" si="10"/>
        <v>12222.222222222223</v>
      </c>
    </row>
    <row r="21" spans="1:18" x14ac:dyDescent="0.25">
      <c r="A21" s="2">
        <v>0.8</v>
      </c>
      <c r="C21">
        <f>C20/0.8</f>
        <v>54722.222222222212</v>
      </c>
      <c r="D21">
        <f t="shared" ref="D21:G21" si="11">D20/0.8</f>
        <v>68055.555555555547</v>
      </c>
      <c r="E21">
        <f t="shared" si="11"/>
        <v>78125</v>
      </c>
      <c r="F21">
        <f t="shared" si="11"/>
        <v>87291.666666666657</v>
      </c>
      <c r="G21">
        <f t="shared" si="11"/>
        <v>95541.666666666657</v>
      </c>
      <c r="H21" t="s">
        <v>14</v>
      </c>
      <c r="M21" t="s">
        <v>2</v>
      </c>
      <c r="N21">
        <f>N19/0.9</f>
        <v>2000</v>
      </c>
      <c r="O21">
        <f t="shared" ref="O21:R21" si="12">O19/0.9</f>
        <v>2361.1111111111109</v>
      </c>
      <c r="P21">
        <f t="shared" si="12"/>
        <v>2361.1111111111109</v>
      </c>
      <c r="Q21">
        <f t="shared" si="12"/>
        <v>2583.3333333333335</v>
      </c>
      <c r="R21">
        <f t="shared" si="12"/>
        <v>2672.2222222222222</v>
      </c>
    </row>
    <row r="22" spans="1:18" x14ac:dyDescent="0.25">
      <c r="L22" s="2">
        <v>0.9</v>
      </c>
      <c r="M22" t="s">
        <v>1</v>
      </c>
      <c r="N22">
        <f>N20/0.9</f>
        <v>7234.5679012345681</v>
      </c>
      <c r="O22">
        <f t="shared" ref="O22:R22" si="13">O20/0.9</f>
        <v>9259.2592592592591</v>
      </c>
      <c r="P22">
        <f t="shared" si="13"/>
        <v>10864.197530864198</v>
      </c>
      <c r="Q22">
        <f t="shared" si="13"/>
        <v>12222.222222222223</v>
      </c>
      <c r="R22">
        <f t="shared" si="13"/>
        <v>13580.246913580248</v>
      </c>
    </row>
    <row r="23" spans="1:18" x14ac:dyDescent="0.25">
      <c r="M23" t="s">
        <v>2</v>
      </c>
      <c r="N23">
        <f>N21/0.9</f>
        <v>2222.2222222222222</v>
      </c>
      <c r="O23">
        <f t="shared" ref="O23:R23" si="14">O21/0.9</f>
        <v>2623.4567901234564</v>
      </c>
      <c r="P23">
        <f t="shared" si="14"/>
        <v>2623.4567901234564</v>
      </c>
      <c r="Q23">
        <f t="shared" si="14"/>
        <v>2870.3703703703704</v>
      </c>
      <c r="R23">
        <f t="shared" si="14"/>
        <v>2969.1358024691358</v>
      </c>
    </row>
    <row r="24" spans="1:18" x14ac:dyDescent="0.25">
      <c r="A24" t="s">
        <v>15</v>
      </c>
      <c r="L24" t="s">
        <v>15</v>
      </c>
    </row>
    <row r="25" spans="1:18" x14ac:dyDescent="0.25">
      <c r="A25" t="s">
        <v>17</v>
      </c>
      <c r="C25">
        <f>C21/300</f>
        <v>182.40740740740736</v>
      </c>
      <c r="D25">
        <f t="shared" ref="D25:G25" si="15">D21/300</f>
        <v>226.85185185185182</v>
      </c>
      <c r="E25">
        <f t="shared" si="15"/>
        <v>260.41666666666669</v>
      </c>
      <c r="F25">
        <f t="shared" si="15"/>
        <v>290.97222222222217</v>
      </c>
      <c r="G25">
        <f t="shared" si="15"/>
        <v>318.47222222222217</v>
      </c>
      <c r="L25" t="s">
        <v>17</v>
      </c>
      <c r="M25" t="s">
        <v>1</v>
      </c>
      <c r="N25">
        <f>N22/300</f>
        <v>24.115226337448561</v>
      </c>
      <c r="O25">
        <f t="shared" ref="O25:R25" si="16">O22/300</f>
        <v>30.864197530864196</v>
      </c>
      <c r="P25">
        <f t="shared" si="16"/>
        <v>36.213991769547327</v>
      </c>
      <c r="Q25">
        <f t="shared" si="16"/>
        <v>40.74074074074074</v>
      </c>
      <c r="R25">
        <f t="shared" si="16"/>
        <v>45.267489711934161</v>
      </c>
    </row>
    <row r="26" spans="1:18" x14ac:dyDescent="0.25">
      <c r="A26" t="s">
        <v>16</v>
      </c>
      <c r="C26">
        <f>ROUNDUP(C25/8,0)</f>
        <v>23</v>
      </c>
      <c r="D26">
        <f t="shared" ref="D26:G26" si="17">ROUNDUP(D25/8,0)</f>
        <v>29</v>
      </c>
      <c r="E26">
        <f t="shared" si="17"/>
        <v>33</v>
      </c>
      <c r="F26">
        <f t="shared" si="17"/>
        <v>37</v>
      </c>
      <c r="G26">
        <f t="shared" si="17"/>
        <v>40</v>
      </c>
      <c r="M26" t="s">
        <v>2</v>
      </c>
      <c r="N26">
        <f>N23/300</f>
        <v>7.4074074074074074</v>
      </c>
      <c r="O26">
        <f t="shared" ref="O26:R26" si="18">O23/300</f>
        <v>8.7448559670781876</v>
      </c>
      <c r="P26">
        <f t="shared" si="18"/>
        <v>8.7448559670781876</v>
      </c>
      <c r="Q26">
        <f t="shared" si="18"/>
        <v>9.567901234567902</v>
      </c>
      <c r="R26">
        <f t="shared" si="18"/>
        <v>9.8971193415637853</v>
      </c>
    </row>
    <row r="27" spans="1:18" x14ac:dyDescent="0.25">
      <c r="A27" t="s">
        <v>18</v>
      </c>
      <c r="C27">
        <v>30</v>
      </c>
      <c r="D27">
        <v>30</v>
      </c>
      <c r="E27">
        <v>30</v>
      </c>
      <c r="F27">
        <v>30</v>
      </c>
      <c r="G27">
        <v>30</v>
      </c>
      <c r="L27" t="s">
        <v>16</v>
      </c>
      <c r="M27" t="s">
        <v>1</v>
      </c>
      <c r="N27">
        <f>ROUNDUP(N25/8,1)</f>
        <v>3.1</v>
      </c>
      <c r="O27">
        <f t="shared" ref="O27:R27" si="19">ROUNDUP(O25/8,1)</f>
        <v>3.9</v>
      </c>
      <c r="P27">
        <f t="shared" si="19"/>
        <v>4.5999999999999996</v>
      </c>
      <c r="Q27">
        <f t="shared" si="19"/>
        <v>5.0999999999999996</v>
      </c>
      <c r="R27">
        <f t="shared" si="19"/>
        <v>5.6999999999999993</v>
      </c>
    </row>
    <row r="28" spans="1:18" x14ac:dyDescent="0.25">
      <c r="C28">
        <f>IF(C26-C27&gt;0,C26-C27,0 )</f>
        <v>0</v>
      </c>
      <c r="D28">
        <f>IF(D26-D27&gt;0,D26-D27,0 )</f>
        <v>0</v>
      </c>
      <c r="E28">
        <f>IF(E26-E27&gt;0,E26-E27,0 )</f>
        <v>3</v>
      </c>
      <c r="F28">
        <f t="shared" ref="F28:G28" si="20">IF(F26-F27&gt;0,F26-F27,0 )</f>
        <v>7</v>
      </c>
      <c r="G28">
        <f t="shared" si="20"/>
        <v>10</v>
      </c>
      <c r="M28" t="s">
        <v>2</v>
      </c>
      <c r="N28">
        <f>ROUNDUP(N26/8,1)</f>
        <v>1</v>
      </c>
      <c r="O28">
        <f t="shared" ref="O28:R28" si="21">ROUNDUP(O26/8,1)</f>
        <v>1.1000000000000001</v>
      </c>
      <c r="P28">
        <f t="shared" si="21"/>
        <v>1.1000000000000001</v>
      </c>
      <c r="Q28">
        <f t="shared" si="21"/>
        <v>1.2000000000000002</v>
      </c>
      <c r="R28">
        <f t="shared" si="21"/>
        <v>1.3</v>
      </c>
    </row>
    <row r="29" spans="1:18" x14ac:dyDescent="0.25">
      <c r="L29" t="s">
        <v>18</v>
      </c>
      <c r="M29" t="s">
        <v>1</v>
      </c>
      <c r="N29">
        <v>4</v>
      </c>
      <c r="O29">
        <v>4</v>
      </c>
      <c r="P29">
        <v>4</v>
      </c>
      <c r="Q29">
        <v>4</v>
      </c>
      <c r="R29">
        <v>4</v>
      </c>
    </row>
    <row r="30" spans="1:18" x14ac:dyDescent="0.25">
      <c r="M30" t="s">
        <v>2</v>
      </c>
      <c r="N30">
        <v>2</v>
      </c>
      <c r="O30">
        <v>2</v>
      </c>
      <c r="P30">
        <v>2</v>
      </c>
      <c r="Q30">
        <v>2</v>
      </c>
      <c r="R30">
        <v>2</v>
      </c>
    </row>
    <row r="31" spans="1:18" x14ac:dyDescent="0.25">
      <c r="N31">
        <f t="shared" ref="N31:O32" si="22">ROUNDUP(IF(N27-N29&gt;0,N27-N29,0),0)</f>
        <v>0</v>
      </c>
      <c r="O31">
        <f t="shared" si="22"/>
        <v>0</v>
      </c>
      <c r="P31">
        <f>ROUNDUP(IF(P27-P29&gt;0,P27-P29,0),0)</f>
        <v>1</v>
      </c>
      <c r="Q31">
        <f t="shared" ref="Q31:R31" si="23">ROUNDUP(IF(Q27-Q29&gt;0,Q27-Q29,0),0)</f>
        <v>2</v>
      </c>
      <c r="R31">
        <f t="shared" si="23"/>
        <v>2</v>
      </c>
    </row>
    <row r="32" spans="1:18" x14ac:dyDescent="0.25">
      <c r="N32">
        <f t="shared" si="22"/>
        <v>0</v>
      </c>
      <c r="O32">
        <f t="shared" si="22"/>
        <v>0</v>
      </c>
      <c r="P32">
        <f>ROUNDUP(IF(P28-P30&gt;0,P28-P30,0),0)</f>
        <v>0</v>
      </c>
      <c r="Q32">
        <f t="shared" ref="Q32:R32" si="24">ROUNDUP(IF(Q28-Q30&gt;0,Q28-Q30,0),0)</f>
        <v>0</v>
      </c>
      <c r="R32">
        <f t="shared" si="24"/>
        <v>0</v>
      </c>
    </row>
  </sheetData>
  <mergeCells count="6">
    <mergeCell ref="A2:A3"/>
    <mergeCell ref="A4:A5"/>
    <mergeCell ref="A15:A16"/>
    <mergeCell ref="A17:A18"/>
    <mergeCell ref="L14:L15"/>
    <mergeCell ref="L16:L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Phakkhaphon Artburai</dc:creator>
  <cp:lastModifiedBy>Phakkhaphon Artburai</cp:lastModifiedBy>
  <dcterms:created xsi:type="dcterms:W3CDTF">2025-12-17T02:51:41Z</dcterms:created>
  <dcterms:modified xsi:type="dcterms:W3CDTF">2025-12-17T03:55:51Z</dcterms:modified>
</cp:coreProperties>
</file>