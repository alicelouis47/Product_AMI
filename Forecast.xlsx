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FED2B6A0-C120-4437-ADE4-56EBE3620D24}" xr6:coauthVersionLast="47" xr6:coauthVersionMax="47" xr10:uidLastSave="{00000000-0000-0000-0000-000000000000}"/>
  <bookViews>
    <workbookView xWindow="11424" yWindow="0" windowWidth="11712" windowHeight="12336" firstSheet="4" activeTab="5" xr2:uid="{AC41E7B0-7B6E-4E7F-A6E7-C7838CC9F81E}"/>
  </bookViews>
  <sheets>
    <sheet name="MOV_AVG" sheetId="1" r:id="rId1"/>
    <sheet name="W_MOV_AVG" sheetId="2" r:id="rId2"/>
    <sheet name="EXP" sheetId="3" r:id="rId3"/>
    <sheet name="Adjusted Exponential  Smoothing" sheetId="4" r:id="rId4"/>
    <sheet name="regression" sheetId="5" r:id="rId5"/>
    <sheet name="ACC" sheetId="6" r:id="rId6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EXP!$D$2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L6" i="6"/>
  <c r="L7" i="6"/>
  <c r="L8" i="6"/>
  <c r="L9" i="6"/>
  <c r="L10" i="6"/>
  <c r="L11" i="6"/>
  <c r="L12" i="6"/>
  <c r="L13" i="6"/>
  <c r="L14" i="6"/>
  <c r="L15" i="6"/>
  <c r="L4" i="6"/>
  <c r="M3" i="6"/>
  <c r="M4" i="6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F3" i="6"/>
  <c r="N3" i="6" s="1"/>
  <c r="E4" i="6"/>
  <c r="E5" i="6"/>
  <c r="E6" i="6"/>
  <c r="E7" i="6"/>
  <c r="E8" i="6"/>
  <c r="E9" i="6"/>
  <c r="E10" i="6"/>
  <c r="E11" i="6"/>
  <c r="E12" i="6"/>
  <c r="E13" i="6"/>
  <c r="E14" i="6"/>
  <c r="D5" i="6"/>
  <c r="D6" i="6"/>
  <c r="D7" i="6"/>
  <c r="D8" i="6"/>
  <c r="D9" i="6"/>
  <c r="D10" i="6"/>
  <c r="D11" i="6"/>
  <c r="D12" i="6"/>
  <c r="D13" i="6"/>
  <c r="D14" i="6"/>
  <c r="D15" i="6"/>
  <c r="D4" i="6"/>
  <c r="F4" i="6" s="1"/>
  <c r="E3" i="6"/>
  <c r="G3" i="6" s="1"/>
  <c r="B15" i="6"/>
  <c r="E15" i="6" s="1"/>
  <c r="F5" i="6" l="1"/>
  <c r="J4" i="6"/>
  <c r="N4" i="6"/>
  <c r="G4" i="6"/>
  <c r="K3" i="6"/>
  <c r="O3" i="6" s="1"/>
  <c r="G5" i="6" l="1"/>
  <c r="K4" i="6"/>
  <c r="O4" i="6"/>
  <c r="F6" i="6"/>
  <c r="J5" i="6"/>
  <c r="N5" i="6" s="1"/>
  <c r="F7" i="6" l="1"/>
  <c r="J6" i="6"/>
  <c r="N6" i="6" s="1"/>
  <c r="G6" i="6"/>
  <c r="K5" i="6"/>
  <c r="O5" i="6"/>
  <c r="E5" i="4"/>
  <c r="E4" i="4"/>
  <c r="G5" i="4"/>
  <c r="G6" i="4" s="1"/>
  <c r="G7" i="4" s="1"/>
  <c r="G8" i="4" s="1"/>
  <c r="G9" i="4" s="1"/>
  <c r="G10" i="4" s="1"/>
  <c r="G11" i="4" s="1"/>
  <c r="G12" i="4" s="1"/>
  <c r="G13" i="4" s="1"/>
  <c r="G14" i="4" s="1"/>
  <c r="G4" i="4"/>
  <c r="G3" i="4"/>
  <c r="D3" i="4"/>
  <c r="F14" i="3"/>
  <c r="E14" i="3"/>
  <c r="D14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G7" i="6" l="1"/>
  <c r="K6" i="6"/>
  <c r="O6" i="6"/>
  <c r="F8" i="6"/>
  <c r="J7" i="6"/>
  <c r="N7" i="6" s="1"/>
  <c r="F2" i="4"/>
  <c r="F9" i="6" l="1"/>
  <c r="J8" i="6"/>
  <c r="N8" i="6"/>
  <c r="G8" i="6"/>
  <c r="K7" i="6"/>
  <c r="O7" i="6" s="1"/>
  <c r="F3" i="4"/>
  <c r="G9" i="6" l="1"/>
  <c r="K8" i="6"/>
  <c r="O8" i="6" s="1"/>
  <c r="F10" i="6"/>
  <c r="J9" i="6"/>
  <c r="N9" i="6" s="1"/>
  <c r="D4" i="4"/>
  <c r="F4" i="4" s="1"/>
  <c r="D5" i="4" s="1"/>
  <c r="E8" i="1"/>
  <c r="E9" i="1"/>
  <c r="E10" i="1"/>
  <c r="E11" i="1"/>
  <c r="E12" i="1"/>
  <c r="E7" i="1"/>
  <c r="D6" i="1"/>
  <c r="D7" i="1"/>
  <c r="D8" i="1"/>
  <c r="D9" i="1"/>
  <c r="D10" i="1"/>
  <c r="D11" i="1"/>
  <c r="D12" i="1"/>
  <c r="D5" i="1"/>
  <c r="F11" i="6" l="1"/>
  <c r="J10" i="6"/>
  <c r="N10" i="6" s="1"/>
  <c r="G10" i="6"/>
  <c r="O9" i="6"/>
  <c r="K9" i="6"/>
  <c r="F5" i="4"/>
  <c r="D6" i="4" s="1"/>
  <c r="E6" i="4" s="1"/>
  <c r="G11" i="6" l="1"/>
  <c r="K10" i="6"/>
  <c r="O10" i="6" s="1"/>
  <c r="F12" i="6"/>
  <c r="J11" i="6"/>
  <c r="N11" i="6" s="1"/>
  <c r="F6" i="4"/>
  <c r="D7" i="4" s="1"/>
  <c r="E7" i="4" s="1"/>
  <c r="F13" i="6" l="1"/>
  <c r="J12" i="6"/>
  <c r="N12" i="6"/>
  <c r="G12" i="6"/>
  <c r="K11" i="6"/>
  <c r="O11" i="6" s="1"/>
  <c r="F7" i="4"/>
  <c r="D8" i="4" s="1"/>
  <c r="E8" i="4" s="1"/>
  <c r="G13" i="6" l="1"/>
  <c r="K12" i="6"/>
  <c r="O12" i="6" s="1"/>
  <c r="F14" i="6"/>
  <c r="J13" i="6"/>
  <c r="N13" i="6"/>
  <c r="F8" i="4"/>
  <c r="D9" i="4" s="1"/>
  <c r="E9" i="4" s="1"/>
  <c r="F15" i="6" l="1"/>
  <c r="N15" i="6" s="1"/>
  <c r="J14" i="6"/>
  <c r="N14" i="6" s="1"/>
  <c r="G14" i="6"/>
  <c r="K13" i="6"/>
  <c r="O13" i="6" s="1"/>
  <c r="F9" i="4"/>
  <c r="D10" i="4" s="1"/>
  <c r="E10" i="4" s="1"/>
  <c r="G15" i="6" l="1"/>
  <c r="K14" i="6"/>
  <c r="O14" i="6" s="1"/>
  <c r="F10" i="4"/>
  <c r="D11" i="4" s="1"/>
  <c r="E11" i="4" s="1"/>
  <c r="F11" i="4" l="1"/>
  <c r="D12" i="4" s="1"/>
  <c r="E12" i="4" s="1"/>
  <c r="F12" i="4" l="1"/>
  <c r="D13" i="4" s="1"/>
  <c r="E13" i="4" s="1"/>
  <c r="F13" i="4" l="1"/>
  <c r="D14" i="4" s="1"/>
  <c r="E14" i="4" s="1"/>
  <c r="F14" i="4" l="1"/>
</calcChain>
</file>

<file path=xl/sharedStrings.xml><?xml version="1.0" encoding="utf-8"?>
<sst xmlns="http://schemas.openxmlformats.org/spreadsheetml/2006/main" count="133" uniqueCount="62">
  <si>
    <t>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</si>
  <si>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</si>
  <si>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</si>
  <si>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</si>
  <si>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</si>
  <si>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</si>
  <si>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</si>
  <si>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</si>
  <si>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</si>
  <si>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</si>
  <si>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</si>
  <si>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</si>
  <si>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-</t>
  </si>
  <si>
    <t>F_t</t>
  </si>
  <si>
    <t>F_t(n=3)</t>
  </si>
  <si>
    <t>F_t(n=5)</t>
  </si>
  <si>
    <t>mouth</t>
  </si>
  <si>
    <t>demand</t>
  </si>
  <si>
    <t>dec</t>
  </si>
  <si>
    <t>Data-&gt;DaTa_Analysis-&gt;Exponential Smoothing</t>
  </si>
  <si>
    <t>Daming ratio =  1-alpha</t>
  </si>
  <si>
    <t>T_t</t>
  </si>
  <si>
    <t>FWT_t</t>
  </si>
  <si>
    <t>F_t()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</si>
  <si>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</si>
  <si>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</si>
  <si>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</si>
  <si>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</si>
  <si>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</si>
  <si>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</si>
  <si>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</si>
  <si>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</si>
  <si>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</si>
  <si>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</si>
  <si>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</si>
  <si>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</si>
  <si>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</si>
  <si>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</si>
  <si>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</si>
  <si>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</si>
  <si>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</si>
  <si>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</si>
  <si>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</si>
  <si>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</si>
  <si>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</si>
  <si>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</si>
  <si>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</si>
  <si>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</si>
  <si>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</si>
  <si>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</si>
  <si>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</si>
  <si>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</si>
  <si>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</si>
  <si>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exp</t>
  </si>
  <si>
    <t>regress</t>
  </si>
  <si>
    <t>abs</t>
  </si>
  <si>
    <t>sum abs</t>
  </si>
  <si>
    <t>LR</t>
  </si>
  <si>
    <t>N</t>
  </si>
  <si>
    <t>MAD_t</t>
  </si>
  <si>
    <t>TS</t>
  </si>
  <si>
    <t>cumu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</si>
</sst>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87" fontId="0" fillId="0" borderId="0" xfId="0" applyNumberFormat="1"/>
    <xf numFmtId="0" fontId="0" fillId="2" borderId="0" xfId="0" applyFill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EXP!$C$2:$C$13</c:f>
              <c:numCache>
                <c:formatCode>General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41</c:v>
                </c:pt>
                <c:pt idx="3">
                  <c:v>37</c:v>
                </c:pt>
                <c:pt idx="4">
                  <c:v>45</c:v>
                </c:pt>
                <c:pt idx="5">
                  <c:v>50</c:v>
                </c:pt>
                <c:pt idx="6">
                  <c:v>43</c:v>
                </c:pt>
                <c:pt idx="7">
                  <c:v>47</c:v>
                </c:pt>
                <c:pt idx="8">
                  <c:v>56</c:v>
                </c:pt>
                <c:pt idx="9">
                  <c:v>52</c:v>
                </c:pt>
                <c:pt idx="10">
                  <c:v>55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7-4BC1-A45F-52421AECAC30}"/>
            </c:ext>
          </c:extLst>
        </c:ser>
        <c:ser>
          <c:idx val="1"/>
          <c:order val="1"/>
          <c:tx>
            <c:v>Forecast</c:v>
          </c:tx>
          <c:val>
            <c:numRef>
              <c:f>EXP!$D$2:$D$13</c:f>
              <c:numCache>
                <c:formatCode>0.0</c:formatCode>
                <c:ptCount val="12"/>
                <c:pt idx="0">
                  <c:v>#N/A</c:v>
                </c:pt>
                <c:pt idx="1">
                  <c:v>37</c:v>
                </c:pt>
                <c:pt idx="2">
                  <c:v>37.300000000000004</c:v>
                </c:pt>
                <c:pt idx="3">
                  <c:v>37.670000000000009</c:v>
                </c:pt>
                <c:pt idx="4">
                  <c:v>37.603000000000009</c:v>
                </c:pt>
                <c:pt idx="5">
                  <c:v>38.342700000000008</c:v>
                </c:pt>
                <c:pt idx="6">
                  <c:v>39.508430000000011</c:v>
                </c:pt>
                <c:pt idx="7">
                  <c:v>39.857587000000009</c:v>
                </c:pt>
                <c:pt idx="8">
                  <c:v>40.571828300000014</c:v>
                </c:pt>
                <c:pt idx="9">
                  <c:v>42.114645470000013</c:v>
                </c:pt>
                <c:pt idx="10">
                  <c:v>43.103180923000018</c:v>
                </c:pt>
                <c:pt idx="11">
                  <c:v>44.292862830700017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7-4BC1-A45F-52421AECA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804351"/>
        <c:axId val="230801471"/>
      </c:lineChart>
      <c:catAx>
        <c:axId val="23080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30801471"/>
        <c:crosses val="autoZero"/>
        <c:auto val="1"/>
        <c:lblAlgn val="ctr"/>
        <c:lblOffset val="100"/>
        <c:noMultiLvlLbl val="0"/>
      </c:catAx>
      <c:valAx>
        <c:axId val="230801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8043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EXP!$C$2:$C$13</c:f>
              <c:numCache>
                <c:formatCode>General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41</c:v>
                </c:pt>
                <c:pt idx="3">
                  <c:v>37</c:v>
                </c:pt>
                <c:pt idx="4">
                  <c:v>45</c:v>
                </c:pt>
                <c:pt idx="5">
                  <c:v>50</c:v>
                </c:pt>
                <c:pt idx="6">
                  <c:v>43</c:v>
                </c:pt>
                <c:pt idx="7">
                  <c:v>47</c:v>
                </c:pt>
                <c:pt idx="8">
                  <c:v>56</c:v>
                </c:pt>
                <c:pt idx="9">
                  <c:v>52</c:v>
                </c:pt>
                <c:pt idx="10">
                  <c:v>55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2-4B75-8548-52452905BC39}"/>
            </c:ext>
          </c:extLst>
        </c:ser>
        <c:ser>
          <c:idx val="1"/>
          <c:order val="1"/>
          <c:tx>
            <c:v>Forecast</c:v>
          </c:tx>
          <c:val>
            <c:numRef>
              <c:f>EXP!$E$2:$E$13</c:f>
              <c:numCache>
                <c:formatCode>0.0</c:formatCode>
                <c:ptCount val="12"/>
                <c:pt idx="0">
                  <c:v>#N/A</c:v>
                </c:pt>
                <c:pt idx="1">
                  <c:v>37</c:v>
                </c:pt>
                <c:pt idx="2">
                  <c:v>37.9</c:v>
                </c:pt>
                <c:pt idx="3">
                  <c:v>38.83</c:v>
                </c:pt>
                <c:pt idx="4">
                  <c:v>38.280999999999999</c:v>
                </c:pt>
                <c:pt idx="5">
                  <c:v>40.296700000000001</c:v>
                </c:pt>
                <c:pt idx="6">
                  <c:v>43.207689999999999</c:v>
                </c:pt>
                <c:pt idx="7">
                  <c:v>43.145382999999995</c:v>
                </c:pt>
                <c:pt idx="8">
                  <c:v>44.301768099999997</c:v>
                </c:pt>
                <c:pt idx="9">
                  <c:v>47.811237669999997</c:v>
                </c:pt>
                <c:pt idx="10">
                  <c:v>49.067866369000001</c:v>
                </c:pt>
                <c:pt idx="11">
                  <c:v>50.847506458299996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2-4B75-8548-52452905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497871"/>
        <c:axId val="224347567"/>
      </c:lineChart>
      <c:catAx>
        <c:axId val="21749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24347567"/>
        <c:crosses val="autoZero"/>
        <c:auto val="1"/>
        <c:lblAlgn val="ctr"/>
        <c:lblOffset val="100"/>
        <c:noMultiLvlLbl val="0"/>
      </c:catAx>
      <c:valAx>
        <c:axId val="224347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4978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EXP!$C$2:$C$13</c:f>
              <c:numCache>
                <c:formatCode>General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41</c:v>
                </c:pt>
                <c:pt idx="3">
                  <c:v>37</c:v>
                </c:pt>
                <c:pt idx="4">
                  <c:v>45</c:v>
                </c:pt>
                <c:pt idx="5">
                  <c:v>50</c:v>
                </c:pt>
                <c:pt idx="6">
                  <c:v>43</c:v>
                </c:pt>
                <c:pt idx="7">
                  <c:v>47</c:v>
                </c:pt>
                <c:pt idx="8">
                  <c:v>56</c:v>
                </c:pt>
                <c:pt idx="9">
                  <c:v>52</c:v>
                </c:pt>
                <c:pt idx="10">
                  <c:v>55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3-4C72-960A-799CF3A3CF7A}"/>
            </c:ext>
          </c:extLst>
        </c:ser>
        <c:ser>
          <c:idx val="1"/>
          <c:order val="1"/>
          <c:tx>
            <c:v>Forecast</c:v>
          </c:tx>
          <c:val>
            <c:numRef>
              <c:f>EXP!$F$2:$F$13</c:f>
              <c:numCache>
                <c:formatCode>0.0</c:formatCode>
                <c:ptCount val="12"/>
                <c:pt idx="0">
                  <c:v>#N/A</c:v>
                </c:pt>
                <c:pt idx="1">
                  <c:v>37</c:v>
                </c:pt>
                <c:pt idx="2">
                  <c:v>38.5</c:v>
                </c:pt>
                <c:pt idx="3">
                  <c:v>39.75</c:v>
                </c:pt>
                <c:pt idx="4">
                  <c:v>38.375</c:v>
                </c:pt>
                <c:pt idx="5">
                  <c:v>41.6875</c:v>
                </c:pt>
                <c:pt idx="6">
                  <c:v>45.84375</c:v>
                </c:pt>
                <c:pt idx="7">
                  <c:v>44.421875</c:v>
                </c:pt>
                <c:pt idx="8">
                  <c:v>45.7109375</c:v>
                </c:pt>
                <c:pt idx="9">
                  <c:v>50.85546875</c:v>
                </c:pt>
                <c:pt idx="10">
                  <c:v>51.427734375</c:v>
                </c:pt>
                <c:pt idx="11">
                  <c:v>53.2138671875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3-4C72-960A-799CF3A3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574687"/>
        <c:axId val="230802431"/>
      </c:lineChart>
      <c:catAx>
        <c:axId val="1477574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30802431"/>
        <c:crosses val="autoZero"/>
        <c:auto val="1"/>
        <c:lblAlgn val="ctr"/>
        <c:lblOffset val="100"/>
        <c:noMultiLvlLbl val="0"/>
      </c:catAx>
      <c:valAx>
        <c:axId val="23080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75746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'Adjusted Exponential  Smoothing'!$F$1</c:f>
              <c:strCache>
                <c:ptCount val="1"/>
                <c:pt idx="0">
                  <c:v>FWT_t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'Adjusted Exponential  Smoothing'!$B$2:$B$14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'Adjusted Exponential  Smoothing'!$F$2:$F$14</c:f>
              <c:numCache>
                <c:formatCode>General</c:formatCode>
                <c:ptCount val="13"/>
                <c:pt idx="0">
                  <c:v>0</c:v>
                </c:pt>
                <c:pt idx="1">
                  <c:v>37</c:v>
                </c:pt>
                <c:pt idx="2">
                  <c:v>38.950000000000003</c:v>
                </c:pt>
                <c:pt idx="3">
                  <c:v>40.732500000000002</c:v>
                </c:pt>
                <c:pt idx="4">
                  <c:v>39.063875000000003</c:v>
                </c:pt>
                <c:pt idx="5">
                  <c:v>43.119981249999995</c:v>
                </c:pt>
                <c:pt idx="6">
                  <c:v>48.680037187499998</c:v>
                </c:pt>
                <c:pt idx="7">
                  <c:v>47.108059578125001</c:v>
                </c:pt>
                <c:pt idx="8">
                  <c:v>48.305861836718748</c:v>
                </c:pt>
                <c:pt idx="9">
                  <c:v>54.558883690507813</c:v>
                </c:pt>
                <c:pt idx="10">
                  <c:v>55.301562063826168</c:v>
                </c:pt>
                <c:pt idx="11">
                  <c:v>57.127666940911425</c:v>
                </c:pt>
                <c:pt idx="12">
                  <c:v>57.071569338317339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4-449D-B5CB-34E954447EA8}"/>
            </c:ext>
          </c:extLst>
        </c:ser>
        <c:ser>
          <c:idx val="1"/>
          <c:order val="1"/>
          <c:tx>
            <c:strRef>
              <c:f>'Adjusted Exponential  Smoothing'!$G$1</c:f>
              <c:strCache>
                <c:ptCount val="1"/>
                <c:pt idx="0">
                  <c:v>F_t()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'Adjusted Exponential  Smoothing'!$B$2:$B$14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'Adjusted Exponential  Smoothing'!$G$2:$G$14</c:f>
              <c:numCache>
                <c:formatCode>0.0</c:formatCode>
                <c:ptCount val="13"/>
                <c:pt idx="0">
                  <c:v>0</c:v>
                </c:pt>
                <c:pt idx="1">
                  <c:v>37</c:v>
                </c:pt>
                <c:pt idx="2">
                  <c:v>38.5</c:v>
                </c:pt>
                <c:pt idx="3">
                  <c:v>39.75</c:v>
                </c:pt>
                <c:pt idx="4">
                  <c:v>38.375</c:v>
                </c:pt>
                <c:pt idx="5">
                  <c:v>41.6875</c:v>
                </c:pt>
                <c:pt idx="6">
                  <c:v>45.84375</c:v>
                </c:pt>
                <c:pt idx="7">
                  <c:v>44.421875</c:v>
                </c:pt>
                <c:pt idx="8">
                  <c:v>45.7109375</c:v>
                </c:pt>
                <c:pt idx="9">
                  <c:v>50.85546875</c:v>
                </c:pt>
                <c:pt idx="10">
                  <c:v>51.427734375</c:v>
                </c:pt>
                <c:pt idx="11">
                  <c:v>53.2138671875</c:v>
                </c:pt>
                <c:pt idx="12">
                  <c:v>53.60693359375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4-449D-B5CB-34E954447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087935"/>
        <c:axId val="301086015"/>
      </c:lineChart>
      <c:catAx>
        <c:axId val="30108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01086015"/>
        <c:crosses val="autoZero"/>
        <c:auto val="1"/>
        <c:lblAlgn val="ctr"/>
        <c:lblOffset val="100"/>
        <c:noMultiLvlLbl val="0"/>
      </c:catAx>
      <c:valAx>
        <c:axId val="3010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0108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regression!$A$2:$A$13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regression!$C$2:$C$13</c:f>
              <c:numCache>
                <c:formatCode>General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41</c:v>
                </c:pt>
                <c:pt idx="3">
                  <c:v>37</c:v>
                </c:pt>
                <c:pt idx="4">
                  <c:v>45</c:v>
                </c:pt>
                <c:pt idx="5">
                  <c:v>50</c:v>
                </c:pt>
                <c:pt idx="6">
                  <c:v>43</c:v>
                </c:pt>
                <c:pt idx="7">
                  <c:v>47</c:v>
                </c:pt>
                <c:pt idx="8">
                  <c:v>56</c:v>
                </c:pt>
                <c:pt idx="9">
                  <c:v>52</c:v>
                </c:pt>
                <c:pt idx="10">
                  <c:v>55</c:v>
                </c:pt>
                <c:pt idx="11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2-49AA-B7F0-94B9FE4753A3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regression!$A$2:$A$13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regression!$E$26:$E$37</c:f>
              <c:numCache>
                <c:formatCode>General</c:formatCode>
                <c:ptCount val="12"/>
                <c:pt idx="0">
                  <c:v>36.935897435897438</c:v>
                </c:pt>
                <c:pt idx="1">
                  <c:v>38.659673659673658</c:v>
                </c:pt>
                <c:pt idx="2">
                  <c:v>40.383449883449885</c:v>
                </c:pt>
                <c:pt idx="3">
                  <c:v>42.107226107226104</c:v>
                </c:pt>
                <c:pt idx="4">
                  <c:v>43.831002331002331</c:v>
                </c:pt>
                <c:pt idx="5">
                  <c:v>45.554778554778551</c:v>
                </c:pt>
                <c:pt idx="6">
                  <c:v>47.278554778554778</c:v>
                </c:pt>
                <c:pt idx="7">
                  <c:v>49.002331002331005</c:v>
                </c:pt>
                <c:pt idx="8">
                  <c:v>50.726107226107224</c:v>
                </c:pt>
                <c:pt idx="9">
                  <c:v>52.449883449883444</c:v>
                </c:pt>
                <c:pt idx="10">
                  <c:v>54.173659673659671</c:v>
                </c:pt>
                <c:pt idx="11">
                  <c:v>55.897435897435898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32-49AA-B7F0-94B9FE475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462191"/>
        <c:axId val="1563462671"/>
      </c:scatterChart>
      <c:valAx>
        <c:axId val="156346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3462671"/>
        <c:crosses val="autoZero"/>
        <c:crossBetween val="midCat"/>
      </c:valAx>
      <c:valAx>
        <c:axId val="1563462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34621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93346</xdr:colOff>
      <xdr:row>0</xdr:row>
      <xdr:rowOff>147002</xdr:rowOff>
    </xdr:from>
    <xdr:to>
      <xdr:col>12</xdr:col>
      <xdr:colOff>93346</xdr:colOff>
      <xdr:row>10</xdr:row>
      <xdr:rowOff>147002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80C256-B84C-1A36-1660-AEDBA1E63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159149</xdr:rowOff>
    </xdr:from>
    <xdr:to>
      <xdr:col>6</xdr:col>
      <xdr:colOff>0</xdr:colOff>
      <xdr:row>24</xdr:row>
      <xdr:rowOff>159149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EEBA64-E8E3-E798-4CC3-400DE1728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91757</xdr:colOff>
      <xdr:row>11</xdr:row>
      <xdr:rowOff>80328</xdr:rowOff>
    </xdr:from>
    <xdr:to>
      <xdr:col>12</xdr:col>
      <xdr:colOff>91757</xdr:colOff>
      <xdr:row>21</xdr:row>
      <xdr:rowOff>80328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B6CFF2-A96F-A47D-CDA9-CAA3DC841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6</xdr:col>
      <xdr:colOff>404069</xdr:colOff>
      <xdr:row>20</xdr:row>
      <xdr:rowOff>137233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0A74F-0D4E-79AD-4DE5-7CF2E3CA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" y="2804160"/>
          <a:ext cx="2415749" cy="838273"/>
        </a:xfrm>
        <a:prstGeom prst="rect">
          <a:avLst/>
        </a:prstGeom>
      </xdr:spPr>
    </xdr:pic>
    <xdr:clientData/>
  </xdr:twoCellAnchor>
  <xdr:twoCellAnchor>
    <xdr:from>
      <xdr:col>8</xdr:col>
      <xdr:colOff>370243</xdr:colOff>
      <xdr:row>1</xdr:row>
      <xdr:rowOff>14758</xdr:rowOff>
    </xdr:from>
    <xdr:to>
      <xdr:col>15</xdr:col>
      <xdr:colOff>250299</xdr:colOff>
      <xdr:row>22</xdr:row>
      <xdr:rowOff>131164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A87EC-D784-2AE0-A234-2EACE966A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1</xdr:row>
      <xdr:rowOff>167640</xdr:rowOff>
    </xdr:from>
    <xdr:to>
      <xdr:col>18</xdr:col>
      <xdr:colOff>274320</xdr:colOff>
      <xdr:row>11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6BBA8-EBCA-D272-323A-4E4A78C72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597C-38F0-4CB7-941A-03C57C86EEC5}">
  <dimension ref="A1:E12"/>
  <sheetViews>
    <sheetView workbookViewId="0">
      <selection sqref="A1:C12"/>
    </sheetView>
  </sheetViews>
  <sheetFormatPr defaultRowHeight="13.8" x14ac:dyDescent="0.25"/>
  <sheetData>
    <row r="1" spans="1:5" x14ac:dyDescent="0.25">
      <c r="A1" t="s">
        <v>0</v>
      </c>
      <c r="B1" t="s">
        <v>16</v>
      </c>
      <c r="C1" t="s">
        <v>17</v>
      </c>
      <c r="D1" t="s">
        <v>14</v>
      </c>
      <c r="E1" t="s">
        <v>15</v>
      </c>
    </row>
    <row r="2" spans="1:5" x14ac:dyDescent="0.25">
      <c r="A2">
        <v>1</v>
      </c>
      <c r="B2" t="s">
        <v>1</v>
      </c>
      <c r="C2">
        <v>120</v>
      </c>
      <c r="D2" t="s">
        <v>12</v>
      </c>
      <c r="E2" t="s">
        <v>12</v>
      </c>
    </row>
    <row r="3" spans="1:5" x14ac:dyDescent="0.25">
      <c r="A3">
        <v>2</v>
      </c>
      <c r="B3" t="s">
        <v>2</v>
      </c>
      <c r="C3">
        <v>90</v>
      </c>
      <c r="D3" t="s">
        <v>12</v>
      </c>
      <c r="E3" t="s">
        <v>12</v>
      </c>
    </row>
    <row r="4" spans="1:5" x14ac:dyDescent="0.25">
      <c r="A4">
        <v>3</v>
      </c>
      <c r="B4" t="s">
        <v>3</v>
      </c>
      <c r="C4">
        <v>100</v>
      </c>
      <c r="D4" t="s">
        <v>12</v>
      </c>
      <c r="E4" t="s">
        <v>12</v>
      </c>
    </row>
    <row r="5" spans="1:5" x14ac:dyDescent="0.25">
      <c r="A5">
        <v>4</v>
      </c>
      <c r="B5" t="s">
        <v>4</v>
      </c>
      <c r="C5">
        <v>75</v>
      </c>
      <c r="D5">
        <f>AVERAGE($C2:$C4)</f>
        <v>103.33333333333333</v>
      </c>
      <c r="E5" t="s">
        <v>12</v>
      </c>
    </row>
    <row r="6" spans="1:5" x14ac:dyDescent="0.25">
      <c r="A6">
        <v>5</v>
      </c>
      <c r="B6" t="s">
        <v>5</v>
      </c>
      <c r="C6">
        <v>110</v>
      </c>
      <c r="D6">
        <f t="shared" ref="D6:D12" si="0">AVERAGE($C3:$C5)</f>
        <v>88.333333333333329</v>
      </c>
      <c r="E6" t="s">
        <v>12</v>
      </c>
    </row>
    <row r="7" spans="1:5" x14ac:dyDescent="0.25">
      <c r="A7">
        <v>6</v>
      </c>
      <c r="B7" t="s">
        <v>6</v>
      </c>
      <c r="C7">
        <v>50</v>
      </c>
      <c r="D7">
        <f t="shared" si="0"/>
        <v>95</v>
      </c>
      <c r="E7">
        <f>AVERAGE($C2:$C6)</f>
        <v>99</v>
      </c>
    </row>
    <row r="8" spans="1:5" x14ac:dyDescent="0.25">
      <c r="A8">
        <v>7</v>
      </c>
      <c r="B8" t="s">
        <v>7</v>
      </c>
      <c r="C8">
        <v>75</v>
      </c>
      <c r="D8">
        <f t="shared" si="0"/>
        <v>78.333333333333329</v>
      </c>
      <c r="E8">
        <f t="shared" ref="E8:E12" si="1">AVERAGE($C3:$C7)</f>
        <v>85</v>
      </c>
    </row>
    <row r="9" spans="1:5" x14ac:dyDescent="0.25">
      <c r="A9">
        <v>8</v>
      </c>
      <c r="B9" t="s">
        <v>8</v>
      </c>
      <c r="C9">
        <v>130</v>
      </c>
      <c r="D9">
        <f t="shared" si="0"/>
        <v>78.333333333333329</v>
      </c>
      <c r="E9">
        <f t="shared" si="1"/>
        <v>82</v>
      </c>
    </row>
    <row r="10" spans="1:5" x14ac:dyDescent="0.25">
      <c r="A10">
        <v>9</v>
      </c>
      <c r="B10" t="s">
        <v>9</v>
      </c>
      <c r="C10">
        <v>110</v>
      </c>
      <c r="D10">
        <f t="shared" si="0"/>
        <v>85</v>
      </c>
      <c r="E10">
        <f t="shared" si="1"/>
        <v>88</v>
      </c>
    </row>
    <row r="11" spans="1:5" x14ac:dyDescent="0.25">
      <c r="A11">
        <v>10</v>
      </c>
      <c r="B11" t="s">
        <v>10</v>
      </c>
      <c r="C11">
        <v>90</v>
      </c>
      <c r="D11">
        <f t="shared" si="0"/>
        <v>105</v>
      </c>
      <c r="E11">
        <f t="shared" si="1"/>
        <v>95</v>
      </c>
    </row>
    <row r="12" spans="1:5" x14ac:dyDescent="0.25">
      <c r="A12">
        <v>11</v>
      </c>
      <c r="B12" t="s">
        <v>11</v>
      </c>
      <c r="C12" t="s">
        <v>12</v>
      </c>
      <c r="D12">
        <f t="shared" si="0"/>
        <v>110</v>
      </c>
      <c r="E12">
        <f t="shared" si="1"/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3A8E-4825-441D-B3BF-48272410BB8D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1EEF-084D-40D4-899E-EA86EB54F7B6}">
  <dimension ref="A1:H25"/>
  <sheetViews>
    <sheetView zoomScale="92" workbookViewId="0">
      <selection activeCell="C2" sqref="C2:C13"/>
    </sheetView>
  </sheetViews>
  <sheetFormatPr defaultRowHeight="13.8" x14ac:dyDescent="0.25"/>
  <cols>
    <col min="4" max="6" width="8.796875" style="1"/>
  </cols>
  <sheetData>
    <row r="1" spans="1:6" x14ac:dyDescent="0.25">
      <c r="A1" t="s">
        <v>0</v>
      </c>
      <c r="B1" t="s">
        <v>16</v>
      </c>
      <c r="C1" t="s">
        <v>17</v>
      </c>
      <c r="D1" s="1">
        <v>0.1</v>
      </c>
      <c r="E1" s="1">
        <v>0.3</v>
      </c>
      <c r="F1" s="1">
        <v>0.5</v>
      </c>
    </row>
    <row r="2" spans="1:6" x14ac:dyDescent="0.25">
      <c r="A2">
        <v>1</v>
      </c>
      <c r="B2" t="s">
        <v>1</v>
      </c>
      <c r="C2">
        <v>37</v>
      </c>
      <c r="D2" s="1" t="e">
        <v>#N/A</v>
      </c>
      <c r="E2" s="1" t="e">
        <v>#N/A</v>
      </c>
      <c r="F2" s="1" t="e">
        <v>#N/A</v>
      </c>
    </row>
    <row r="3" spans="1:6" x14ac:dyDescent="0.25">
      <c r="A3">
        <v>2</v>
      </c>
      <c r="B3" t="s">
        <v>2</v>
      </c>
      <c r="C3">
        <v>40</v>
      </c>
      <c r="D3" s="1">
        <f>C2</f>
        <v>37</v>
      </c>
      <c r="E3" s="1">
        <f>C2</f>
        <v>37</v>
      </c>
      <c r="F3" s="1">
        <f>C2</f>
        <v>37</v>
      </c>
    </row>
    <row r="4" spans="1:6" x14ac:dyDescent="0.25">
      <c r="A4">
        <v>3</v>
      </c>
      <c r="B4" t="s">
        <v>3</v>
      </c>
      <c r="C4">
        <v>41</v>
      </c>
      <c r="D4" s="1">
        <f t="shared" ref="D4:D12" si="0">0.1*C3+0.9*D3</f>
        <v>37.300000000000004</v>
      </c>
      <c r="E4" s="1">
        <f t="shared" ref="E4:E14" si="1">0.3*C3+0.7*E3</f>
        <v>37.9</v>
      </c>
      <c r="F4" s="1">
        <f t="shared" ref="F4:F14" si="2">0.5*C3+0.5*F3</f>
        <v>38.5</v>
      </c>
    </row>
    <row r="5" spans="1:6" x14ac:dyDescent="0.25">
      <c r="A5">
        <v>4</v>
      </c>
      <c r="B5" t="s">
        <v>4</v>
      </c>
      <c r="C5">
        <v>37</v>
      </c>
      <c r="D5" s="1">
        <f t="shared" si="0"/>
        <v>37.670000000000009</v>
      </c>
      <c r="E5" s="1">
        <f t="shared" si="1"/>
        <v>38.83</v>
      </c>
      <c r="F5" s="1">
        <f t="shared" si="2"/>
        <v>39.75</v>
      </c>
    </row>
    <row r="6" spans="1:6" x14ac:dyDescent="0.25">
      <c r="A6">
        <v>5</v>
      </c>
      <c r="B6" t="s">
        <v>5</v>
      </c>
      <c r="C6">
        <v>45</v>
      </c>
      <c r="D6" s="1">
        <f t="shared" si="0"/>
        <v>37.603000000000009</v>
      </c>
      <c r="E6" s="1">
        <f t="shared" si="1"/>
        <v>38.280999999999999</v>
      </c>
      <c r="F6" s="1">
        <f t="shared" si="2"/>
        <v>38.375</v>
      </c>
    </row>
    <row r="7" spans="1:6" x14ac:dyDescent="0.25">
      <c r="A7">
        <v>6</v>
      </c>
      <c r="B7" t="s">
        <v>6</v>
      </c>
      <c r="C7">
        <v>50</v>
      </c>
      <c r="D7" s="1">
        <f t="shared" si="0"/>
        <v>38.342700000000008</v>
      </c>
      <c r="E7" s="1">
        <f t="shared" si="1"/>
        <v>40.296700000000001</v>
      </c>
      <c r="F7" s="1">
        <f t="shared" si="2"/>
        <v>41.6875</v>
      </c>
    </row>
    <row r="8" spans="1:6" x14ac:dyDescent="0.25">
      <c r="A8">
        <v>7</v>
      </c>
      <c r="B8" t="s">
        <v>7</v>
      </c>
      <c r="C8">
        <v>43</v>
      </c>
      <c r="D8" s="1">
        <f t="shared" si="0"/>
        <v>39.508430000000011</v>
      </c>
      <c r="E8" s="1">
        <f t="shared" si="1"/>
        <v>43.207689999999999</v>
      </c>
      <c r="F8" s="1">
        <f t="shared" si="2"/>
        <v>45.84375</v>
      </c>
    </row>
    <row r="9" spans="1:6" x14ac:dyDescent="0.25">
      <c r="A9">
        <v>8</v>
      </c>
      <c r="B9" t="s">
        <v>8</v>
      </c>
      <c r="C9">
        <v>47</v>
      </c>
      <c r="D9" s="1">
        <f t="shared" si="0"/>
        <v>39.857587000000009</v>
      </c>
      <c r="E9" s="1">
        <f t="shared" si="1"/>
        <v>43.145382999999995</v>
      </c>
      <c r="F9" s="1">
        <f t="shared" si="2"/>
        <v>44.421875</v>
      </c>
    </row>
    <row r="10" spans="1:6" x14ac:dyDescent="0.25">
      <c r="A10">
        <v>9</v>
      </c>
      <c r="B10" t="s">
        <v>9</v>
      </c>
      <c r="C10">
        <v>56</v>
      </c>
      <c r="D10" s="1">
        <f t="shared" si="0"/>
        <v>40.571828300000014</v>
      </c>
      <c r="E10" s="1">
        <f t="shared" si="1"/>
        <v>44.301768099999997</v>
      </c>
      <c r="F10" s="1">
        <f t="shared" si="2"/>
        <v>45.7109375</v>
      </c>
    </row>
    <row r="11" spans="1:6" x14ac:dyDescent="0.25">
      <c r="A11">
        <v>10</v>
      </c>
      <c r="B11" t="s">
        <v>10</v>
      </c>
      <c r="C11">
        <v>52</v>
      </c>
      <c r="D11" s="1">
        <f t="shared" si="0"/>
        <v>42.114645470000013</v>
      </c>
      <c r="E11" s="1">
        <f t="shared" si="1"/>
        <v>47.811237669999997</v>
      </c>
      <c r="F11" s="1">
        <f t="shared" si="2"/>
        <v>50.85546875</v>
      </c>
    </row>
    <row r="12" spans="1:6" x14ac:dyDescent="0.25">
      <c r="A12">
        <v>11</v>
      </c>
      <c r="B12" t="s">
        <v>11</v>
      </c>
      <c r="C12">
        <v>55</v>
      </c>
      <c r="D12" s="1">
        <f t="shared" si="0"/>
        <v>43.103180923000018</v>
      </c>
      <c r="E12" s="1">
        <f t="shared" si="1"/>
        <v>49.067866369000001</v>
      </c>
      <c r="F12" s="1">
        <f t="shared" si="2"/>
        <v>51.427734375</v>
      </c>
    </row>
    <row r="13" spans="1:6" x14ac:dyDescent="0.25">
      <c r="A13">
        <v>12</v>
      </c>
      <c r="B13" t="s">
        <v>18</v>
      </c>
      <c r="C13">
        <v>54</v>
      </c>
      <c r="D13" s="1">
        <f>0.1*C12+0.9*D12</f>
        <v>44.292862830700017</v>
      </c>
      <c r="E13" s="1">
        <f t="shared" si="1"/>
        <v>50.847506458299996</v>
      </c>
      <c r="F13" s="1">
        <f t="shared" si="2"/>
        <v>53.2138671875</v>
      </c>
    </row>
    <row r="14" spans="1:6" x14ac:dyDescent="0.25">
      <c r="A14">
        <v>13</v>
      </c>
      <c r="B14" t="s">
        <v>1</v>
      </c>
      <c r="C14" t="s">
        <v>12</v>
      </c>
      <c r="D14" s="1">
        <f>0.1*C13+0.9*D13</f>
        <v>45.263576547630016</v>
      </c>
      <c r="E14" s="1">
        <f t="shared" si="1"/>
        <v>51.793254520809995</v>
      </c>
      <c r="F14" s="1">
        <f t="shared" si="2"/>
        <v>53.60693359375</v>
      </c>
    </row>
    <row r="24" spans="8:8" x14ac:dyDescent="0.25">
      <c r="H24" t="s">
        <v>19</v>
      </c>
    </row>
    <row r="25" spans="8:8" x14ac:dyDescent="0.25">
      <c r="H25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5878-565A-461C-938F-A095F9B8A185}">
  <dimension ref="A1:G14"/>
  <sheetViews>
    <sheetView workbookViewId="0">
      <selection sqref="A1:C14"/>
    </sheetView>
  </sheetViews>
  <sheetFormatPr defaultRowHeight="13.8" x14ac:dyDescent="0.25"/>
  <sheetData>
    <row r="1" spans="1:7" x14ac:dyDescent="0.25">
      <c r="A1" t="s">
        <v>0</v>
      </c>
      <c r="B1" t="s">
        <v>16</v>
      </c>
      <c r="C1" t="s">
        <v>17</v>
      </c>
      <c r="D1" t="s">
        <v>13</v>
      </c>
      <c r="E1" t="s">
        <v>21</v>
      </c>
      <c r="F1" t="s">
        <v>22</v>
      </c>
      <c r="G1" t="s">
        <v>23</v>
      </c>
    </row>
    <row r="2" spans="1:7" x14ac:dyDescent="0.25">
      <c r="A2">
        <v>1</v>
      </c>
      <c r="B2" t="s">
        <v>1</v>
      </c>
      <c r="C2">
        <v>37</v>
      </c>
      <c r="D2">
        <v>0</v>
      </c>
      <c r="E2">
        <v>0</v>
      </c>
      <c r="F2">
        <f>D2+E2</f>
        <v>0</v>
      </c>
      <c r="G2" s="1">
        <v>0</v>
      </c>
    </row>
    <row r="3" spans="1:7" x14ac:dyDescent="0.25">
      <c r="A3">
        <v>2</v>
      </c>
      <c r="B3" t="s">
        <v>2</v>
      </c>
      <c r="C3">
        <v>40</v>
      </c>
      <c r="D3" s="2">
        <f>37</f>
        <v>37</v>
      </c>
      <c r="E3" s="2">
        <v>0</v>
      </c>
      <c r="F3">
        <f>$D3+$E3</f>
        <v>37</v>
      </c>
      <c r="G3" s="1">
        <f>C2</f>
        <v>37</v>
      </c>
    </row>
    <row r="4" spans="1:7" x14ac:dyDescent="0.25">
      <c r="A4">
        <v>3</v>
      </c>
      <c r="B4" t="s">
        <v>3</v>
      </c>
      <c r="C4">
        <v>41</v>
      </c>
      <c r="D4">
        <f t="shared" ref="D4:D14" si="0">$F3+0.5*($C3-$F3)</f>
        <v>38.5</v>
      </c>
      <c r="E4">
        <f>$E3+0.3*($D4-$F3)</f>
        <v>0.44999999999999996</v>
      </c>
      <c r="F4">
        <f t="shared" ref="F4:F14" si="1">$D4+$E4</f>
        <v>38.950000000000003</v>
      </c>
      <c r="G4" s="1">
        <f>0.5*C3+0.5*G3</f>
        <v>38.5</v>
      </c>
    </row>
    <row r="5" spans="1:7" x14ac:dyDescent="0.25">
      <c r="A5">
        <v>4</v>
      </c>
      <c r="B5" t="s">
        <v>4</v>
      </c>
      <c r="C5">
        <v>37</v>
      </c>
      <c r="D5">
        <f t="shared" si="0"/>
        <v>39.975000000000001</v>
      </c>
      <c r="E5">
        <f t="shared" ref="E5:E14" si="2">$E4+0.3*($D5-$F4)</f>
        <v>0.75749999999999951</v>
      </c>
      <c r="F5">
        <f t="shared" si="1"/>
        <v>40.732500000000002</v>
      </c>
      <c r="G5" s="1">
        <f t="shared" ref="G5:G14" si="3">0.5*C4+0.5*G4</f>
        <v>39.75</v>
      </c>
    </row>
    <row r="6" spans="1:7" x14ac:dyDescent="0.25">
      <c r="A6">
        <v>5</v>
      </c>
      <c r="B6" t="s">
        <v>5</v>
      </c>
      <c r="C6">
        <v>45</v>
      </c>
      <c r="D6">
        <f t="shared" si="0"/>
        <v>38.866250000000001</v>
      </c>
      <c r="E6">
        <f t="shared" si="2"/>
        <v>0.19762499999999927</v>
      </c>
      <c r="F6">
        <f t="shared" si="1"/>
        <v>39.063875000000003</v>
      </c>
      <c r="G6" s="1">
        <f t="shared" si="3"/>
        <v>38.375</v>
      </c>
    </row>
    <row r="7" spans="1:7" x14ac:dyDescent="0.25">
      <c r="A7">
        <v>6</v>
      </c>
      <c r="B7" t="s">
        <v>6</v>
      </c>
      <c r="C7">
        <v>50</v>
      </c>
      <c r="D7">
        <f t="shared" si="0"/>
        <v>42.031937499999998</v>
      </c>
      <c r="E7">
        <f t="shared" si="2"/>
        <v>1.0880437499999978</v>
      </c>
      <c r="F7">
        <f t="shared" si="1"/>
        <v>43.119981249999995</v>
      </c>
      <c r="G7" s="1">
        <f t="shared" si="3"/>
        <v>41.6875</v>
      </c>
    </row>
    <row r="8" spans="1:7" x14ac:dyDescent="0.25">
      <c r="A8">
        <v>7</v>
      </c>
      <c r="B8" t="s">
        <v>7</v>
      </c>
      <c r="C8">
        <v>43</v>
      </c>
      <c r="D8">
        <f t="shared" si="0"/>
        <v>46.559990624999998</v>
      </c>
      <c r="E8">
        <f t="shared" si="2"/>
        <v>2.1200465624999985</v>
      </c>
      <c r="F8">
        <f t="shared" si="1"/>
        <v>48.680037187499998</v>
      </c>
      <c r="G8" s="1">
        <f t="shared" si="3"/>
        <v>45.84375</v>
      </c>
    </row>
    <row r="9" spans="1:7" x14ac:dyDescent="0.25">
      <c r="A9">
        <v>8</v>
      </c>
      <c r="B9" t="s">
        <v>8</v>
      </c>
      <c r="C9">
        <v>47</v>
      </c>
      <c r="D9">
        <f t="shared" si="0"/>
        <v>45.840018593750003</v>
      </c>
      <c r="E9">
        <f t="shared" si="2"/>
        <v>1.2680409843749998</v>
      </c>
      <c r="F9">
        <f t="shared" si="1"/>
        <v>47.108059578125001</v>
      </c>
      <c r="G9" s="1">
        <f t="shared" si="3"/>
        <v>44.421875</v>
      </c>
    </row>
    <row r="10" spans="1:7" x14ac:dyDescent="0.25">
      <c r="A10">
        <v>9</v>
      </c>
      <c r="B10" t="s">
        <v>9</v>
      </c>
      <c r="C10">
        <v>56</v>
      </c>
      <c r="D10">
        <f t="shared" si="0"/>
        <v>47.054029789062497</v>
      </c>
      <c r="E10">
        <f t="shared" si="2"/>
        <v>1.2518320476562486</v>
      </c>
      <c r="F10">
        <f t="shared" si="1"/>
        <v>48.305861836718748</v>
      </c>
      <c r="G10" s="1">
        <f t="shared" si="3"/>
        <v>45.7109375</v>
      </c>
    </row>
    <row r="11" spans="1:7" x14ac:dyDescent="0.25">
      <c r="A11">
        <v>10</v>
      </c>
      <c r="B11" t="s">
        <v>10</v>
      </c>
      <c r="C11">
        <v>52</v>
      </c>
      <c r="D11">
        <f t="shared" si="0"/>
        <v>52.152930918359374</v>
      </c>
      <c r="E11">
        <f t="shared" si="2"/>
        <v>2.4059527721484364</v>
      </c>
      <c r="F11">
        <f t="shared" si="1"/>
        <v>54.558883690507813</v>
      </c>
      <c r="G11" s="1">
        <f t="shared" si="3"/>
        <v>50.85546875</v>
      </c>
    </row>
    <row r="12" spans="1:7" x14ac:dyDescent="0.25">
      <c r="A12">
        <v>11</v>
      </c>
      <c r="B12" t="s">
        <v>11</v>
      </c>
      <c r="C12">
        <v>55</v>
      </c>
      <c r="D12">
        <f t="shared" si="0"/>
        <v>53.279441845253906</v>
      </c>
      <c r="E12">
        <f t="shared" si="2"/>
        <v>2.0221202185722644</v>
      </c>
      <c r="F12">
        <f t="shared" si="1"/>
        <v>55.301562063826168</v>
      </c>
      <c r="G12" s="1">
        <f t="shared" si="3"/>
        <v>51.427734375</v>
      </c>
    </row>
    <row r="13" spans="1:7" x14ac:dyDescent="0.25">
      <c r="A13">
        <v>12</v>
      </c>
      <c r="B13" t="s">
        <v>18</v>
      </c>
      <c r="C13">
        <v>54</v>
      </c>
      <c r="D13">
        <f t="shared" si="0"/>
        <v>55.150781031913084</v>
      </c>
      <c r="E13">
        <f t="shared" si="2"/>
        <v>1.9768859089983393</v>
      </c>
      <c r="F13">
        <f t="shared" si="1"/>
        <v>57.127666940911425</v>
      </c>
      <c r="G13" s="1">
        <f t="shared" si="3"/>
        <v>53.2138671875</v>
      </c>
    </row>
    <row r="14" spans="1:7" x14ac:dyDescent="0.25">
      <c r="A14">
        <v>13</v>
      </c>
      <c r="B14" t="s">
        <v>1</v>
      </c>
      <c r="C14" t="s">
        <v>12</v>
      </c>
      <c r="D14">
        <f t="shared" si="0"/>
        <v>55.563833470455712</v>
      </c>
      <c r="E14">
        <f t="shared" si="2"/>
        <v>1.5077358678616255</v>
      </c>
      <c r="F14">
        <f t="shared" si="1"/>
        <v>57.071569338317339</v>
      </c>
      <c r="G14" s="1">
        <f t="shared" si="3"/>
        <v>53.60693359375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BA39-9C75-4E0A-B20D-22A082E06381}">
  <dimension ref="A1:L37"/>
  <sheetViews>
    <sheetView zoomScale="101" workbookViewId="0">
      <selection activeCell="E26" sqref="E26:E37"/>
    </sheetView>
  </sheetViews>
  <sheetFormatPr defaultRowHeight="13.8" x14ac:dyDescent="0.25"/>
  <sheetData>
    <row r="1" spans="1:9" x14ac:dyDescent="0.25">
      <c r="A1" t="s">
        <v>0</v>
      </c>
      <c r="B1" t="s">
        <v>16</v>
      </c>
      <c r="C1" t="s">
        <v>17</v>
      </c>
    </row>
    <row r="2" spans="1:9" x14ac:dyDescent="0.25">
      <c r="A2">
        <v>1</v>
      </c>
      <c r="B2" t="s">
        <v>1</v>
      </c>
      <c r="C2">
        <v>37</v>
      </c>
      <c r="D2" t="s">
        <v>24</v>
      </c>
    </row>
    <row r="3" spans="1:9" ht="14.4" thickBot="1" x14ac:dyDescent="0.3">
      <c r="A3">
        <v>2</v>
      </c>
      <c r="B3" t="s">
        <v>2</v>
      </c>
      <c r="C3">
        <v>40</v>
      </c>
    </row>
    <row r="4" spans="1:9" x14ac:dyDescent="0.25">
      <c r="A4">
        <v>3</v>
      </c>
      <c r="B4" t="s">
        <v>3</v>
      </c>
      <c r="C4">
        <v>41</v>
      </c>
      <c r="D4" s="5" t="s">
        <v>25</v>
      </c>
      <c r="E4" s="5"/>
    </row>
    <row r="5" spans="1:9" x14ac:dyDescent="0.25">
      <c r="A5">
        <v>4</v>
      </c>
      <c r="B5" t="s">
        <v>4</v>
      </c>
      <c r="C5">
        <v>37</v>
      </c>
      <c r="D5" t="s">
        <v>26</v>
      </c>
      <c r="E5">
        <v>0.89630388476297251</v>
      </c>
    </row>
    <row r="6" spans="1:9" x14ac:dyDescent="0.25">
      <c r="A6">
        <v>5</v>
      </c>
      <c r="B6" t="s">
        <v>5</v>
      </c>
      <c r="C6">
        <v>45</v>
      </c>
      <c r="D6" t="s">
        <v>27</v>
      </c>
      <c r="E6">
        <v>0.80336065384119582</v>
      </c>
    </row>
    <row r="7" spans="1:9" x14ac:dyDescent="0.25">
      <c r="A7">
        <v>6</v>
      </c>
      <c r="B7" t="s">
        <v>6</v>
      </c>
      <c r="C7">
        <v>50</v>
      </c>
      <c r="D7" t="s">
        <v>28</v>
      </c>
      <c r="E7">
        <v>0.78369671922531536</v>
      </c>
    </row>
    <row r="8" spans="1:9" x14ac:dyDescent="0.25">
      <c r="A8">
        <v>7</v>
      </c>
      <c r="B8" t="s">
        <v>7</v>
      </c>
      <c r="C8">
        <v>43</v>
      </c>
      <c r="D8" t="s">
        <v>29</v>
      </c>
      <c r="E8">
        <v>3.2249934496960999</v>
      </c>
    </row>
    <row r="9" spans="1:9" ht="14.4" thickBot="1" x14ac:dyDescent="0.3">
      <c r="A9">
        <v>8</v>
      </c>
      <c r="B9" t="s">
        <v>8</v>
      </c>
      <c r="C9">
        <v>47</v>
      </c>
      <c r="D9" s="3" t="s">
        <v>30</v>
      </c>
      <c r="E9" s="3">
        <v>12</v>
      </c>
    </row>
    <row r="10" spans="1:9" x14ac:dyDescent="0.25">
      <c r="A10">
        <v>9</v>
      </c>
      <c r="B10" t="s">
        <v>9</v>
      </c>
      <c r="C10">
        <v>56</v>
      </c>
    </row>
    <row r="11" spans="1:9" ht="14.4" thickBot="1" x14ac:dyDescent="0.3">
      <c r="A11">
        <v>10</v>
      </c>
      <c r="B11" t="s">
        <v>10</v>
      </c>
      <c r="C11">
        <v>52</v>
      </c>
      <c r="D11" t="s">
        <v>31</v>
      </c>
    </row>
    <row r="12" spans="1:9" x14ac:dyDescent="0.25">
      <c r="A12">
        <v>11</v>
      </c>
      <c r="B12" t="s">
        <v>11</v>
      </c>
      <c r="C12">
        <v>55</v>
      </c>
      <c r="D12" s="4"/>
      <c r="E12" s="4" t="s">
        <v>36</v>
      </c>
      <c r="F12" s="4" t="s">
        <v>37</v>
      </c>
      <c r="G12" s="4" t="s">
        <v>38</v>
      </c>
      <c r="H12" s="4" t="s">
        <v>39</v>
      </c>
      <c r="I12" s="4" t="s">
        <v>40</v>
      </c>
    </row>
    <row r="13" spans="1:9" x14ac:dyDescent="0.25">
      <c r="A13">
        <v>12</v>
      </c>
      <c r="B13" t="s">
        <v>18</v>
      </c>
      <c r="C13">
        <v>54</v>
      </c>
      <c r="D13" t="s">
        <v>32</v>
      </c>
      <c r="E13">
        <v>1</v>
      </c>
      <c r="F13">
        <v>424.91083916083915</v>
      </c>
      <c r="G13">
        <v>424.91083916083915</v>
      </c>
      <c r="H13">
        <v>40.85452222732723</v>
      </c>
      <c r="I13">
        <v>7.9156792254646367E-5</v>
      </c>
    </row>
    <row r="14" spans="1:9" x14ac:dyDescent="0.25">
      <c r="A14">
        <v>13</v>
      </c>
      <c r="B14" t="s">
        <v>1</v>
      </c>
      <c r="C14" t="s">
        <v>12</v>
      </c>
      <c r="D14" t="s">
        <v>33</v>
      </c>
      <c r="E14">
        <v>10</v>
      </c>
      <c r="F14">
        <v>104.0058275058275</v>
      </c>
      <c r="G14">
        <v>10.40058275058275</v>
      </c>
    </row>
    <row r="15" spans="1:9" ht="14.4" thickBot="1" x14ac:dyDescent="0.3">
      <c r="D15" s="3" t="s">
        <v>34</v>
      </c>
      <c r="E15" s="3">
        <v>11</v>
      </c>
      <c r="F15" s="3">
        <v>528.91666666666663</v>
      </c>
      <c r="G15" s="3"/>
      <c r="H15" s="3"/>
      <c r="I15" s="3"/>
    </row>
    <row r="16" spans="1:9" ht="14.4" thickBot="1" x14ac:dyDescent="0.3"/>
    <row r="17" spans="4:12" x14ac:dyDescent="0.25">
      <c r="D17" s="4"/>
      <c r="E17" s="4" t="s">
        <v>41</v>
      </c>
      <c r="F17" s="4" t="s">
        <v>29</v>
      </c>
      <c r="G17" s="4" t="s">
        <v>42</v>
      </c>
      <c r="H17" s="4" t="s">
        <v>43</v>
      </c>
      <c r="I17" s="4" t="s">
        <v>44</v>
      </c>
      <c r="J17" s="4" t="s">
        <v>45</v>
      </c>
      <c r="K17" s="4" t="s">
        <v>46</v>
      </c>
      <c r="L17" s="4" t="s">
        <v>47</v>
      </c>
    </row>
    <row r="18" spans="4:12" x14ac:dyDescent="0.25">
      <c r="D18" t="s">
        <v>35</v>
      </c>
      <c r="E18">
        <v>35.212121212121211</v>
      </c>
      <c r="F18">
        <v>1.9848462606083732</v>
      </c>
      <c r="G18">
        <v>17.740477895415626</v>
      </c>
      <c r="H18">
        <v>6.9051559695340924E-9</v>
      </c>
      <c r="I18">
        <v>30.78960814364002</v>
      </c>
      <c r="J18">
        <v>39.634634280602398</v>
      </c>
      <c r="K18">
        <v>30.78960814364002</v>
      </c>
      <c r="L18">
        <v>39.634634280602398</v>
      </c>
    </row>
    <row r="19" spans="4:12" ht="14.4" thickBot="1" x14ac:dyDescent="0.3">
      <c r="D19" s="3" t="s">
        <v>48</v>
      </c>
      <c r="E19" s="3">
        <v>1.7237762237762237</v>
      </c>
      <c r="F19" s="3">
        <v>0.26968750046335682</v>
      </c>
      <c r="G19" s="3">
        <v>6.3917542370875955</v>
      </c>
      <c r="H19" s="3">
        <v>7.9156792254646367E-5</v>
      </c>
      <c r="I19" s="3">
        <v>1.1228750260987521</v>
      </c>
      <c r="J19" s="3">
        <v>2.3246774214536954</v>
      </c>
      <c r="K19" s="3">
        <v>1.1228750260987521</v>
      </c>
      <c r="L19" s="3">
        <v>2.3246774214536954</v>
      </c>
    </row>
    <row r="23" spans="4:12" x14ac:dyDescent="0.25">
      <c r="D23" t="s">
        <v>49</v>
      </c>
    </row>
    <row r="24" spans="4:12" ht="14.4" thickBot="1" x14ac:dyDescent="0.3"/>
    <row r="25" spans="4:12" x14ac:dyDescent="0.25">
      <c r="D25" s="4" t="s">
        <v>50</v>
      </c>
      <c r="E25" s="4" t="s">
        <v>51</v>
      </c>
      <c r="F25" s="4" t="s">
        <v>52</v>
      </c>
    </row>
    <row r="26" spans="4:12" x14ac:dyDescent="0.25">
      <c r="D26">
        <v>1</v>
      </c>
      <c r="E26">
        <v>36.935897435897438</v>
      </c>
      <c r="F26">
        <v>6.4102564102562098E-2</v>
      </c>
    </row>
    <row r="27" spans="4:12" x14ac:dyDescent="0.25">
      <c r="D27">
        <v>2</v>
      </c>
      <c r="E27">
        <v>38.659673659673658</v>
      </c>
      <c r="F27">
        <v>1.3403263403263423</v>
      </c>
    </row>
    <row r="28" spans="4:12" x14ac:dyDescent="0.25">
      <c r="D28">
        <v>3</v>
      </c>
      <c r="E28">
        <v>40.383449883449885</v>
      </c>
      <c r="F28">
        <v>0.61655011655011549</v>
      </c>
    </row>
    <row r="29" spans="4:12" x14ac:dyDescent="0.25">
      <c r="D29">
        <v>4</v>
      </c>
      <c r="E29">
        <v>42.107226107226104</v>
      </c>
      <c r="F29">
        <v>-5.1072261072261043</v>
      </c>
    </row>
    <row r="30" spans="4:12" x14ac:dyDescent="0.25">
      <c r="D30">
        <v>5</v>
      </c>
      <c r="E30">
        <v>43.831002331002331</v>
      </c>
      <c r="F30">
        <v>1.1689976689976689</v>
      </c>
    </row>
    <row r="31" spans="4:12" x14ac:dyDescent="0.25">
      <c r="D31">
        <v>6</v>
      </c>
      <c r="E31">
        <v>45.554778554778551</v>
      </c>
      <c r="F31">
        <v>4.4452214452214491</v>
      </c>
    </row>
    <row r="32" spans="4:12" x14ac:dyDescent="0.25">
      <c r="D32">
        <v>7</v>
      </c>
      <c r="E32">
        <v>47.278554778554778</v>
      </c>
      <c r="F32">
        <v>-4.2785547785547777</v>
      </c>
    </row>
    <row r="33" spans="4:6" x14ac:dyDescent="0.25">
      <c r="D33">
        <v>8</v>
      </c>
      <c r="E33">
        <v>49.002331002331005</v>
      </c>
      <c r="F33">
        <v>-2.0023310023310046</v>
      </c>
    </row>
    <row r="34" spans="4:6" x14ac:dyDescent="0.25">
      <c r="D34">
        <v>9</v>
      </c>
      <c r="E34">
        <v>50.726107226107224</v>
      </c>
      <c r="F34">
        <v>5.2738927738927757</v>
      </c>
    </row>
    <row r="35" spans="4:6" x14ac:dyDescent="0.25">
      <c r="D35">
        <v>10</v>
      </c>
      <c r="E35">
        <v>52.449883449883444</v>
      </c>
      <c r="F35">
        <v>-0.44988344988344409</v>
      </c>
    </row>
    <row r="36" spans="4:6" x14ac:dyDescent="0.25">
      <c r="D36">
        <v>11</v>
      </c>
      <c r="E36">
        <v>54.173659673659671</v>
      </c>
      <c r="F36">
        <v>0.82634032634032906</v>
      </c>
    </row>
    <row r="37" spans="4:6" ht="14.4" thickBot="1" x14ac:dyDescent="0.3">
      <c r="D37" s="3">
        <v>12</v>
      </c>
      <c r="E37" s="3">
        <v>55.897435897435898</v>
      </c>
      <c r="F37" s="3">
        <v>-1.8974358974358978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72-C97A-4BB4-884C-B82E6F1036DD}">
  <dimension ref="A1:O15"/>
  <sheetViews>
    <sheetView tabSelected="1" topLeftCell="E1" zoomScale="94" workbookViewId="0">
      <selection activeCell="L4" sqref="L4:L15"/>
    </sheetView>
  </sheetViews>
  <sheetFormatPr defaultRowHeight="13.8" x14ac:dyDescent="0.25"/>
  <sheetData>
    <row r="1" spans="1:15" x14ac:dyDescent="0.25">
      <c r="D1" t="s">
        <v>55</v>
      </c>
      <c r="F1" t="s">
        <v>56</v>
      </c>
      <c r="H1" t="s">
        <v>58</v>
      </c>
      <c r="J1" t="s">
        <v>59</v>
      </c>
      <c r="L1" t="s">
        <v>61</v>
      </c>
      <c r="N1" t="s">
        <v>60</v>
      </c>
    </row>
    <row r="2" spans="1:15" x14ac:dyDescent="0.25">
      <c r="A2" t="s">
        <v>53</v>
      </c>
      <c r="B2" t="s">
        <v>54</v>
      </c>
      <c r="C2" t="s">
        <v>17</v>
      </c>
      <c r="D2" t="s">
        <v>53</v>
      </c>
      <c r="E2" t="s">
        <v>57</v>
      </c>
      <c r="F2" t="s">
        <v>53</v>
      </c>
      <c r="G2" t="s">
        <v>57</v>
      </c>
      <c r="H2" t="s">
        <v>53</v>
      </c>
      <c r="I2" t="s">
        <v>57</v>
      </c>
      <c r="J2" t="s">
        <v>53</v>
      </c>
      <c r="K2" t="s">
        <v>57</v>
      </c>
      <c r="L2" t="s">
        <v>53</v>
      </c>
      <c r="M2" t="s">
        <v>57</v>
      </c>
      <c r="N2" t="s">
        <v>53</v>
      </c>
      <c r="O2" t="s">
        <v>57</v>
      </c>
    </row>
    <row r="3" spans="1:15" x14ac:dyDescent="0.25">
      <c r="B3">
        <v>36.935897435897438</v>
      </c>
      <c r="C3">
        <v>37</v>
      </c>
      <c r="E3">
        <f>ABS(C3-B3)</f>
        <v>6.4102564102562098E-2</v>
      </c>
      <c r="F3">
        <f>D3</f>
        <v>0</v>
      </c>
      <c r="G3">
        <f>E3</f>
        <v>6.4102564102562098E-2</v>
      </c>
      <c r="H3">
        <v>0</v>
      </c>
      <c r="I3">
        <v>1</v>
      </c>
      <c r="J3">
        <v>0</v>
      </c>
      <c r="K3">
        <f>G3/I3</f>
        <v>6.4102564102562098E-2</v>
      </c>
      <c r="L3">
        <v>0</v>
      </c>
      <c r="M3">
        <f>($C3-B3)</f>
        <v>6.4102564102562098E-2</v>
      </c>
      <c r="N3" t="e">
        <f>F3/J3</f>
        <v>#DIV/0!</v>
      </c>
      <c r="O3">
        <f>G3/K3</f>
        <v>1</v>
      </c>
    </row>
    <row r="4" spans="1:15" x14ac:dyDescent="0.25">
      <c r="A4">
        <v>37</v>
      </c>
      <c r="B4">
        <v>38.659673659673658</v>
      </c>
      <c r="C4">
        <v>40</v>
      </c>
      <c r="D4">
        <f>ABS(C4-A4)</f>
        <v>3</v>
      </c>
      <c r="E4">
        <f t="shared" ref="E4:E15" si="0">ABS(C4-B4)</f>
        <v>1.3403263403263423</v>
      </c>
      <c r="F4">
        <f>F3+D4</f>
        <v>3</v>
      </c>
      <c r="G4">
        <f>G3+E4</f>
        <v>1.4044289044289044</v>
      </c>
      <c r="H4">
        <v>1</v>
      </c>
      <c r="I4">
        <v>2</v>
      </c>
      <c r="J4">
        <f>F4/H4</f>
        <v>3</v>
      </c>
      <c r="K4">
        <f t="shared" ref="K4:K14" si="1">G4/I4</f>
        <v>0.70221445221445222</v>
      </c>
      <c r="L4">
        <f>(C4-A4)</f>
        <v>3</v>
      </c>
      <c r="M4">
        <f>(C4-B4)+M3</f>
        <v>1.4044289044289044</v>
      </c>
      <c r="N4">
        <f>-F4/J4</f>
        <v>-1</v>
      </c>
      <c r="O4">
        <f t="shared" ref="O4:O14" si="2">G4/K4</f>
        <v>2</v>
      </c>
    </row>
    <row r="5" spans="1:15" x14ac:dyDescent="0.25">
      <c r="A5">
        <v>37.9</v>
      </c>
      <c r="B5">
        <v>40.383449883449885</v>
      </c>
      <c r="C5">
        <v>41</v>
      </c>
      <c r="D5">
        <f t="shared" ref="D5:D15" si="3">ABS(C5-A5)</f>
        <v>3.1000000000000014</v>
      </c>
      <c r="E5">
        <f t="shared" si="0"/>
        <v>0.61655011655011549</v>
      </c>
      <c r="F5">
        <f t="shared" ref="F5:F15" si="4">F4+D5</f>
        <v>6.1000000000000014</v>
      </c>
      <c r="G5">
        <f t="shared" ref="G5:G15" si="5">G4+E5</f>
        <v>2.0209790209790199</v>
      </c>
      <c r="H5">
        <v>2</v>
      </c>
      <c r="I5">
        <v>3</v>
      </c>
      <c r="J5">
        <f t="shared" ref="J5:J14" si="6">F5/H5</f>
        <v>3.0500000000000007</v>
      </c>
      <c r="K5">
        <f t="shared" si="1"/>
        <v>0.67365967365967327</v>
      </c>
      <c r="L5">
        <f t="shared" ref="L5:L15" si="7">(C5-A5)</f>
        <v>3.1000000000000014</v>
      </c>
      <c r="M5">
        <f t="shared" ref="M5:M15" si="8">(C5-B5)+M4</f>
        <v>2.0209790209790199</v>
      </c>
      <c r="N5">
        <f t="shared" ref="N5:N15" si="9">-F5/J5</f>
        <v>-2</v>
      </c>
      <c r="O5">
        <f t="shared" si="2"/>
        <v>3</v>
      </c>
    </row>
    <row r="6" spans="1:15" x14ac:dyDescent="0.25">
      <c r="A6">
        <v>38.83</v>
      </c>
      <c r="B6">
        <v>42.107226107226104</v>
      </c>
      <c r="C6">
        <v>37</v>
      </c>
      <c r="D6">
        <f t="shared" si="3"/>
        <v>1.8299999999999983</v>
      </c>
      <c r="E6">
        <f t="shared" si="0"/>
        <v>5.1072261072261043</v>
      </c>
      <c r="F6">
        <f t="shared" si="4"/>
        <v>7.93</v>
      </c>
      <c r="G6">
        <f t="shared" si="5"/>
        <v>7.1282051282051242</v>
      </c>
      <c r="H6">
        <v>3</v>
      </c>
      <c r="I6">
        <v>4</v>
      </c>
      <c r="J6">
        <f t="shared" si="6"/>
        <v>2.6433333333333331</v>
      </c>
      <c r="K6">
        <f t="shared" si="1"/>
        <v>1.782051282051281</v>
      </c>
      <c r="L6">
        <f t="shared" si="7"/>
        <v>-1.8299999999999983</v>
      </c>
      <c r="M6">
        <f t="shared" si="8"/>
        <v>-3.0862470862470843</v>
      </c>
      <c r="N6">
        <f t="shared" si="9"/>
        <v>-3</v>
      </c>
      <c r="O6">
        <f t="shared" si="2"/>
        <v>4</v>
      </c>
    </row>
    <row r="7" spans="1:15" x14ac:dyDescent="0.25">
      <c r="A7">
        <v>38.280999999999999</v>
      </c>
      <c r="B7">
        <v>43.831002331002331</v>
      </c>
      <c r="C7">
        <v>45</v>
      </c>
      <c r="D7">
        <f t="shared" si="3"/>
        <v>6.7190000000000012</v>
      </c>
      <c r="E7">
        <f t="shared" si="0"/>
        <v>1.1689976689976689</v>
      </c>
      <c r="F7">
        <f t="shared" si="4"/>
        <v>14.649000000000001</v>
      </c>
      <c r="G7">
        <f t="shared" si="5"/>
        <v>8.2972027972027931</v>
      </c>
      <c r="H7">
        <v>4</v>
      </c>
      <c r="I7">
        <v>5</v>
      </c>
      <c r="J7">
        <f t="shared" si="6"/>
        <v>3.6622500000000002</v>
      </c>
      <c r="K7">
        <f t="shared" si="1"/>
        <v>1.6594405594405586</v>
      </c>
      <c r="L7">
        <f t="shared" si="7"/>
        <v>6.7190000000000012</v>
      </c>
      <c r="M7">
        <f t="shared" si="8"/>
        <v>-1.9172494172494154</v>
      </c>
      <c r="N7">
        <f t="shared" si="9"/>
        <v>-4</v>
      </c>
      <c r="O7">
        <f t="shared" si="2"/>
        <v>5</v>
      </c>
    </row>
    <row r="8" spans="1:15" x14ac:dyDescent="0.25">
      <c r="A8">
        <v>40.296700000000001</v>
      </c>
      <c r="B8">
        <v>45.554778554778551</v>
      </c>
      <c r="C8">
        <v>50</v>
      </c>
      <c r="D8">
        <f t="shared" si="3"/>
        <v>9.7032999999999987</v>
      </c>
      <c r="E8">
        <f t="shared" si="0"/>
        <v>4.4452214452214491</v>
      </c>
      <c r="F8">
        <f t="shared" si="4"/>
        <v>24.3523</v>
      </c>
      <c r="G8">
        <f t="shared" si="5"/>
        <v>12.742424242424242</v>
      </c>
      <c r="H8">
        <v>5</v>
      </c>
      <c r="I8">
        <v>6</v>
      </c>
      <c r="J8">
        <f t="shared" si="6"/>
        <v>4.8704599999999996</v>
      </c>
      <c r="K8">
        <f t="shared" si="1"/>
        <v>2.1237373737373737</v>
      </c>
      <c r="L8">
        <f t="shared" si="7"/>
        <v>9.7032999999999987</v>
      </c>
      <c r="M8">
        <f t="shared" si="8"/>
        <v>2.5279720279720337</v>
      </c>
      <c r="N8">
        <f t="shared" si="9"/>
        <v>-5</v>
      </c>
      <c r="O8">
        <f t="shared" si="2"/>
        <v>6</v>
      </c>
    </row>
    <row r="9" spans="1:15" x14ac:dyDescent="0.25">
      <c r="A9">
        <v>43.207689999999999</v>
      </c>
      <c r="B9">
        <v>47.278554778554778</v>
      </c>
      <c r="C9">
        <v>43</v>
      </c>
      <c r="D9">
        <f t="shared" si="3"/>
        <v>0.20768999999999949</v>
      </c>
      <c r="E9">
        <f t="shared" si="0"/>
        <v>4.2785547785547777</v>
      </c>
      <c r="F9">
        <f t="shared" si="4"/>
        <v>24.559989999999999</v>
      </c>
      <c r="G9">
        <f t="shared" si="5"/>
        <v>17.02097902097902</v>
      </c>
      <c r="H9">
        <v>6</v>
      </c>
      <c r="I9">
        <v>7</v>
      </c>
      <c r="J9">
        <f t="shared" si="6"/>
        <v>4.0933316666666668</v>
      </c>
      <c r="K9">
        <f t="shared" si="1"/>
        <v>2.4315684315684316</v>
      </c>
      <c r="L9">
        <f t="shared" si="7"/>
        <v>-0.20768999999999949</v>
      </c>
      <c r="M9">
        <f t="shared" si="8"/>
        <v>-1.750582750582744</v>
      </c>
      <c r="N9">
        <f t="shared" si="9"/>
        <v>-6</v>
      </c>
      <c r="O9">
        <f t="shared" si="2"/>
        <v>6.9999999999999991</v>
      </c>
    </row>
    <row r="10" spans="1:15" x14ac:dyDescent="0.25">
      <c r="A10">
        <v>43.145382999999995</v>
      </c>
      <c r="B10">
        <v>49.002331002331005</v>
      </c>
      <c r="C10">
        <v>47</v>
      </c>
      <c r="D10">
        <f t="shared" si="3"/>
        <v>3.8546170000000046</v>
      </c>
      <c r="E10">
        <f t="shared" si="0"/>
        <v>2.0023310023310046</v>
      </c>
      <c r="F10">
        <f t="shared" si="4"/>
        <v>28.414607000000004</v>
      </c>
      <c r="G10">
        <f t="shared" si="5"/>
        <v>19.023310023310025</v>
      </c>
      <c r="H10">
        <v>7</v>
      </c>
      <c r="I10">
        <v>8</v>
      </c>
      <c r="J10">
        <f t="shared" si="6"/>
        <v>4.0592295714285722</v>
      </c>
      <c r="K10">
        <f t="shared" si="1"/>
        <v>2.3779137529137531</v>
      </c>
      <c r="L10">
        <f t="shared" si="7"/>
        <v>3.8546170000000046</v>
      </c>
      <c r="M10">
        <f t="shared" si="8"/>
        <v>-3.7529137529137486</v>
      </c>
      <c r="N10">
        <f t="shared" si="9"/>
        <v>-7</v>
      </c>
      <c r="O10">
        <f t="shared" si="2"/>
        <v>8</v>
      </c>
    </row>
    <row r="11" spans="1:15" x14ac:dyDescent="0.25">
      <c r="A11">
        <v>44.301768099999997</v>
      </c>
      <c r="B11">
        <v>50.726107226107224</v>
      </c>
      <c r="C11">
        <v>56</v>
      </c>
      <c r="D11">
        <f t="shared" si="3"/>
        <v>11.698231900000003</v>
      </c>
      <c r="E11">
        <f t="shared" si="0"/>
        <v>5.2738927738927757</v>
      </c>
      <c r="F11">
        <f t="shared" si="4"/>
        <v>40.112838900000007</v>
      </c>
      <c r="G11">
        <f t="shared" si="5"/>
        <v>24.2972027972028</v>
      </c>
      <c r="H11">
        <v>8</v>
      </c>
      <c r="I11">
        <v>9</v>
      </c>
      <c r="J11">
        <f t="shared" si="6"/>
        <v>5.0141048625000009</v>
      </c>
      <c r="K11">
        <f t="shared" si="1"/>
        <v>2.6996891996892001</v>
      </c>
      <c r="L11">
        <f t="shared" si="7"/>
        <v>11.698231900000003</v>
      </c>
      <c r="M11">
        <f t="shared" si="8"/>
        <v>1.520979020979027</v>
      </c>
      <c r="N11">
        <f t="shared" si="9"/>
        <v>-8</v>
      </c>
      <c r="O11">
        <f t="shared" si="2"/>
        <v>9</v>
      </c>
    </row>
    <row r="12" spans="1:15" x14ac:dyDescent="0.25">
      <c r="A12">
        <v>47.811237669999997</v>
      </c>
      <c r="B12">
        <v>52.449883449883444</v>
      </c>
      <c r="C12">
        <v>52</v>
      </c>
      <c r="D12">
        <f t="shared" si="3"/>
        <v>4.188762330000003</v>
      </c>
      <c r="E12">
        <f t="shared" si="0"/>
        <v>0.44988344988344409</v>
      </c>
      <c r="F12">
        <f t="shared" si="4"/>
        <v>44.30160123000001</v>
      </c>
      <c r="G12">
        <f t="shared" si="5"/>
        <v>24.747086247086244</v>
      </c>
      <c r="H12">
        <v>9</v>
      </c>
      <c r="I12">
        <v>10</v>
      </c>
      <c r="J12">
        <f t="shared" si="6"/>
        <v>4.9224001366666679</v>
      </c>
      <c r="K12">
        <f t="shared" si="1"/>
        <v>2.4747086247086245</v>
      </c>
      <c r="L12">
        <f t="shared" si="7"/>
        <v>4.188762330000003</v>
      </c>
      <c r="M12">
        <f t="shared" si="8"/>
        <v>1.071095571095583</v>
      </c>
      <c r="N12">
        <f t="shared" si="9"/>
        <v>-9</v>
      </c>
      <c r="O12">
        <f t="shared" si="2"/>
        <v>10</v>
      </c>
    </row>
    <row r="13" spans="1:15" x14ac:dyDescent="0.25">
      <c r="A13">
        <v>49.067866369000001</v>
      </c>
      <c r="B13">
        <v>54.173659673659671</v>
      </c>
      <c r="C13">
        <v>55</v>
      </c>
      <c r="D13">
        <f t="shared" si="3"/>
        <v>5.9321336309999992</v>
      </c>
      <c r="E13">
        <f t="shared" si="0"/>
        <v>0.82634032634032906</v>
      </c>
      <c r="F13">
        <f t="shared" si="4"/>
        <v>50.233734861000009</v>
      </c>
      <c r="G13">
        <f t="shared" si="5"/>
        <v>25.573426573426573</v>
      </c>
      <c r="H13">
        <v>10</v>
      </c>
      <c r="I13">
        <v>11</v>
      </c>
      <c r="J13">
        <f t="shared" si="6"/>
        <v>5.0233734861000006</v>
      </c>
      <c r="K13">
        <f t="shared" si="1"/>
        <v>2.3248569612205974</v>
      </c>
      <c r="L13">
        <f t="shared" si="7"/>
        <v>5.9321336309999992</v>
      </c>
      <c r="M13">
        <f t="shared" si="8"/>
        <v>1.897435897435912</v>
      </c>
      <c r="N13">
        <f t="shared" si="9"/>
        <v>-10</v>
      </c>
      <c r="O13">
        <f t="shared" si="2"/>
        <v>11.000000000000002</v>
      </c>
    </row>
    <row r="14" spans="1:15" ht="14.4" thickBot="1" x14ac:dyDescent="0.3">
      <c r="A14">
        <v>50.847506458299996</v>
      </c>
      <c r="B14" s="3">
        <v>55.897435897435898</v>
      </c>
      <c r="C14">
        <v>54</v>
      </c>
      <c r="D14">
        <f t="shared" si="3"/>
        <v>3.1524935417000037</v>
      </c>
      <c r="E14">
        <f t="shared" si="0"/>
        <v>1.8974358974358978</v>
      </c>
      <c r="F14">
        <f t="shared" si="4"/>
        <v>53.386228402700013</v>
      </c>
      <c r="G14">
        <f t="shared" si="5"/>
        <v>27.470862470862471</v>
      </c>
      <c r="H14">
        <v>11</v>
      </c>
      <c r="I14">
        <v>12</v>
      </c>
      <c r="J14">
        <f t="shared" si="6"/>
        <v>4.8532934911545462</v>
      </c>
      <c r="K14">
        <f t="shared" si="1"/>
        <v>2.2892385392385393</v>
      </c>
      <c r="L14">
        <f t="shared" si="7"/>
        <v>3.1524935417000037</v>
      </c>
      <c r="M14">
        <f t="shared" si="8"/>
        <v>1.4210854715202004E-14</v>
      </c>
      <c r="N14">
        <f t="shared" si="9"/>
        <v>-11.000000000000002</v>
      </c>
      <c r="O14">
        <f t="shared" si="2"/>
        <v>12</v>
      </c>
    </row>
    <row r="15" spans="1:15" x14ac:dyDescent="0.25">
      <c r="A15">
        <v>51.793254520809995</v>
      </c>
      <c r="B15">
        <f>35.2+1.72*13</f>
        <v>57.56</v>
      </c>
      <c r="D15">
        <f t="shared" si="3"/>
        <v>51.793254520809995</v>
      </c>
      <c r="E15">
        <f t="shared" si="0"/>
        <v>57.56</v>
      </c>
      <c r="F15">
        <f t="shared" si="4"/>
        <v>105.17948292351001</v>
      </c>
      <c r="G15">
        <f t="shared" si="5"/>
        <v>85.030862470862473</v>
      </c>
      <c r="L15">
        <f t="shared" si="7"/>
        <v>-51.793254520809995</v>
      </c>
      <c r="M15">
        <f t="shared" si="8"/>
        <v>-57.559999999999988</v>
      </c>
      <c r="N15" t="e">
        <f t="shared" si="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MOV_AVG</vt:lpstr>
      <vt:lpstr>W_MOV_AVG</vt:lpstr>
      <vt:lpstr>EXP</vt:lpstr>
      <vt:lpstr>Adjusted Exponential  Smoothing</vt:lpstr>
      <vt:lpstr>regression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2025-12-08T06:42:48Z</dcterms:created>
  <dcterms:modified xsi:type="dcterms:W3CDTF">2026-01-21T05:43:50Z</dcterms:modified>
</cp:coreProperties>
</file>