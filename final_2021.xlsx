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_AMI\"/>
    </mc:Choice>
  </mc:AlternateContent>
  <xr:revisionPtr revIDLastSave="0" documentId="13_ncr:1_{DECE86D8-E4C7-4AE9-ACD5-5E221AEC049B}" xr6:coauthVersionLast="47" xr6:coauthVersionMax="47" xr10:uidLastSave="{00000000-0000-0000-0000-000000000000}"/>
  <bookViews>
    <workbookView xWindow="11424" yWindow="0" windowWidth="11712" windowHeight="12336" activeTab="3" xr2:uid="{610C62FC-771F-46CD-9203-53674410F396}"/>
  </bookViews>
  <sheets>
    <sheet name="2" sheetId="1" r:id="rId1"/>
    <sheet name="3" sheetId="2" r:id="rId2"/>
    <sheet name="5" sheetId="3" r:id="rId3"/>
    <sheet name="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C14" i="2"/>
  <c r="D14" i="2"/>
  <c r="E14" i="2"/>
  <c r="F14" i="2"/>
  <c r="G14" i="2"/>
  <c r="H14" i="2"/>
  <c r="I14" i="2"/>
  <c r="J14" i="2"/>
  <c r="K14" i="2"/>
  <c r="B14" i="2"/>
  <c r="B8" i="2"/>
  <c r="C7" i="2"/>
  <c r="D7" i="2"/>
  <c r="E7" i="2"/>
  <c r="F7" i="2"/>
  <c r="G7" i="2"/>
  <c r="H7" i="2"/>
  <c r="I7" i="2"/>
  <c r="J7" i="2"/>
  <c r="K7" i="2"/>
  <c r="B7" i="2"/>
  <c r="B10" i="2"/>
  <c r="A9" i="4"/>
  <c r="B6" i="4"/>
  <c r="A6" i="4"/>
  <c r="A3" i="4"/>
  <c r="B2" i="4"/>
  <c r="C2" i="4"/>
  <c r="D2" i="4"/>
  <c r="E2" i="4"/>
  <c r="A2" i="4"/>
  <c r="B5" i="3"/>
  <c r="C5" i="3" s="1"/>
  <c r="B3" i="3"/>
  <c r="A5" i="3"/>
  <c r="C3" i="3"/>
  <c r="D3" i="3"/>
  <c r="E3" i="3"/>
  <c r="F3" i="3"/>
  <c r="G3" i="3"/>
  <c r="A3" i="3"/>
  <c r="B9" i="2"/>
  <c r="C4" i="2"/>
  <c r="D4" i="2"/>
  <c r="E4" i="2"/>
  <c r="F4" i="2"/>
  <c r="G4" i="2"/>
  <c r="H4" i="2"/>
  <c r="I4" i="2"/>
  <c r="J4" i="2"/>
  <c r="K4" i="2"/>
  <c r="B4" i="2"/>
  <c r="C3" i="1"/>
</calcChain>
</file>

<file path=xl/sharedStrings.xml><?xml version="1.0" encoding="utf-8"?>
<sst xmlns="http://schemas.openxmlformats.org/spreadsheetml/2006/main" count="11" uniqueCount="11">
  <si>
    <t>งาน</t>
  </si>
  <si>
    <t>L</t>
  </si>
  <si>
    <t>ค่าปรับ</t>
  </si>
  <si>
    <t>กำไรต่อล็อต</t>
  </si>
  <si>
    <t>กำไรรวม</t>
  </si>
  <si>
    <t>สุทธิ</t>
  </si>
  <si>
    <t>ขาดทุนรวม</t>
  </si>
  <si>
    <t>เวลารอบของทั้ง7</t>
  </si>
  <si>
    <t>เวลาที่ใช้จริง</t>
  </si>
  <si>
    <t>เวลาเหลืออ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</si>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</sst>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4DDA-026D-4BD7-B0E7-36E7A989E9AB}">
  <dimension ref="A3:C3"/>
  <sheetViews>
    <sheetView workbookViewId="0">
      <selection activeCell="D23" sqref="D23"/>
    </sheetView>
  </sheetViews>
  <sheetFormatPr defaultRowHeight="13.8" x14ac:dyDescent="0.25"/>
  <sheetData>
    <row r="3" spans="1:3" x14ac:dyDescent="0.25">
      <c r="A3">
        <v>135293</v>
      </c>
      <c r="B3">
        <v>1001</v>
      </c>
      <c r="C3">
        <f>A3/B3</f>
        <v>135.15784215784217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ED18-9951-40E1-B90D-75FA92659987}">
  <dimension ref="A2:M14"/>
  <sheetViews>
    <sheetView workbookViewId="0">
      <selection activeCell="B9" sqref="B9"/>
    </sheetView>
  </sheetViews>
  <sheetFormatPr defaultRowHeight="13.8" x14ac:dyDescent="0.25"/>
  <cols>
    <col min="1" max="1" width="10.09765625" bestFit="1" customWidth="1"/>
    <col min="2" max="3" width="4.8984375" bestFit="1" customWidth="1"/>
    <col min="4" max="4" width="3.8984375" bestFit="1" customWidth="1"/>
    <col min="5" max="5" width="4.8984375" bestFit="1" customWidth="1"/>
    <col min="6" max="7" width="3.8984375" bestFit="1" customWidth="1"/>
    <col min="8" max="8" width="4.8984375" bestFit="1" customWidth="1"/>
    <col min="9" max="9" width="3.8984375" bestFit="1" customWidth="1"/>
    <col min="10" max="11" width="4.8984375" bestFit="1" customWidth="1"/>
  </cols>
  <sheetData>
    <row r="2" spans="1:13" x14ac:dyDescent="0.25">
      <c r="A2" t="s">
        <v>0</v>
      </c>
      <c r="B2">
        <v>4</v>
      </c>
      <c r="C2">
        <v>10</v>
      </c>
      <c r="D2">
        <v>3</v>
      </c>
      <c r="E2">
        <v>9</v>
      </c>
      <c r="F2">
        <v>1</v>
      </c>
      <c r="G2">
        <v>6</v>
      </c>
      <c r="H2">
        <v>2</v>
      </c>
      <c r="I2">
        <v>5</v>
      </c>
      <c r="J2">
        <v>7</v>
      </c>
      <c r="K2">
        <v>8</v>
      </c>
    </row>
    <row r="3" spans="1:13" x14ac:dyDescent="0.25">
      <c r="A3" t="s">
        <v>1</v>
      </c>
      <c r="B3">
        <v>-4</v>
      </c>
      <c r="C3">
        <v>4</v>
      </c>
      <c r="D3">
        <v>-1</v>
      </c>
      <c r="E3">
        <v>4</v>
      </c>
      <c r="F3">
        <v>4</v>
      </c>
      <c r="G3">
        <v>-1</v>
      </c>
      <c r="H3">
        <v>-1</v>
      </c>
      <c r="I3">
        <v>-1</v>
      </c>
      <c r="J3">
        <v>0</v>
      </c>
      <c r="K3">
        <v>2</v>
      </c>
    </row>
    <row r="4" spans="1:13" x14ac:dyDescent="0.25">
      <c r="A4" t="s">
        <v>2</v>
      </c>
      <c r="B4">
        <f>IF(B3&gt;=0, 60*B3, 0)</f>
        <v>0</v>
      </c>
      <c r="C4">
        <f t="shared" ref="C4:K4" si="0">IF(C3&gt;=0, 60*C3, 0)</f>
        <v>240</v>
      </c>
      <c r="D4">
        <f t="shared" si="0"/>
        <v>0</v>
      </c>
      <c r="E4">
        <f t="shared" si="0"/>
        <v>240</v>
      </c>
      <c r="F4">
        <f t="shared" si="0"/>
        <v>240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120</v>
      </c>
    </row>
    <row r="5" spans="1:13" x14ac:dyDescent="0.25">
      <c r="A5" t="s">
        <v>3</v>
      </c>
      <c r="B5">
        <v>100</v>
      </c>
      <c r="C5">
        <v>125</v>
      </c>
      <c r="D5">
        <v>80</v>
      </c>
      <c r="E5">
        <v>175</v>
      </c>
      <c r="F5">
        <v>70</v>
      </c>
      <c r="G5">
        <v>110</v>
      </c>
      <c r="H5">
        <v>45</v>
      </c>
      <c r="I5">
        <v>60</v>
      </c>
      <c r="J5">
        <v>200</v>
      </c>
      <c r="K5">
        <v>80</v>
      </c>
    </row>
    <row r="6" spans="1:13" x14ac:dyDescent="0.25">
      <c r="B6">
        <v>8</v>
      </c>
      <c r="C6">
        <v>10</v>
      </c>
      <c r="D6">
        <v>7</v>
      </c>
      <c r="E6">
        <v>9</v>
      </c>
      <c r="F6">
        <v>5</v>
      </c>
      <c r="G6">
        <v>5</v>
      </c>
      <c r="H6">
        <v>4</v>
      </c>
      <c r="I6">
        <v>10</v>
      </c>
      <c r="J6">
        <v>6</v>
      </c>
      <c r="K6">
        <v>8</v>
      </c>
    </row>
    <row r="7" spans="1:13" x14ac:dyDescent="0.25">
      <c r="B7">
        <f>B5*B6</f>
        <v>800</v>
      </c>
      <c r="C7">
        <f t="shared" ref="C7:K7" si="1">C5*C6</f>
        <v>1250</v>
      </c>
      <c r="D7">
        <f t="shared" si="1"/>
        <v>560</v>
      </c>
      <c r="E7">
        <f t="shared" si="1"/>
        <v>1575</v>
      </c>
      <c r="F7">
        <f t="shared" si="1"/>
        <v>350</v>
      </c>
      <c r="G7">
        <f t="shared" si="1"/>
        <v>550</v>
      </c>
      <c r="H7">
        <f t="shared" si="1"/>
        <v>180</v>
      </c>
      <c r="I7">
        <f t="shared" si="1"/>
        <v>600</v>
      </c>
      <c r="J7">
        <f t="shared" si="1"/>
        <v>1200</v>
      </c>
      <c r="K7">
        <f t="shared" si="1"/>
        <v>640</v>
      </c>
    </row>
    <row r="8" spans="1:13" x14ac:dyDescent="0.25">
      <c r="A8" t="s">
        <v>4</v>
      </c>
      <c r="B8">
        <f>SUM(B7:K7)</f>
        <v>7705</v>
      </c>
    </row>
    <row r="9" spans="1:13" x14ac:dyDescent="0.25">
      <c r="A9" t="s">
        <v>6</v>
      </c>
      <c r="B9">
        <f>SUM(B4:K4)</f>
        <v>840</v>
      </c>
    </row>
    <row r="10" spans="1:13" x14ac:dyDescent="0.25">
      <c r="A10" t="s">
        <v>5</v>
      </c>
      <c r="B10">
        <f>B8-B9</f>
        <v>6865</v>
      </c>
    </row>
    <row r="12" spans="1:13" x14ac:dyDescent="0.25">
      <c r="B12">
        <v>70</v>
      </c>
      <c r="C12">
        <v>45</v>
      </c>
      <c r="D12">
        <v>80</v>
      </c>
      <c r="E12">
        <v>100</v>
      </c>
      <c r="F12">
        <v>60</v>
      </c>
      <c r="G12">
        <v>110</v>
      </c>
      <c r="H12">
        <v>200</v>
      </c>
      <c r="I12">
        <v>80</v>
      </c>
      <c r="J12">
        <v>175</v>
      </c>
      <c r="K12">
        <v>125</v>
      </c>
    </row>
    <row r="13" spans="1:13" x14ac:dyDescent="0.25">
      <c r="B13">
        <v>5</v>
      </c>
      <c r="C13">
        <v>4</v>
      </c>
      <c r="D13">
        <v>7</v>
      </c>
      <c r="E13">
        <v>8</v>
      </c>
      <c r="F13">
        <v>10</v>
      </c>
      <c r="G13">
        <v>5</v>
      </c>
      <c r="H13">
        <v>6</v>
      </c>
      <c r="I13">
        <v>8</v>
      </c>
      <c r="J13">
        <v>9</v>
      </c>
      <c r="K13">
        <v>10</v>
      </c>
    </row>
    <row r="14" spans="1:13" x14ac:dyDescent="0.25">
      <c r="B14">
        <f>B12*B13</f>
        <v>350</v>
      </c>
      <c r="C14">
        <f t="shared" ref="C14:K14" si="2">C12*C13</f>
        <v>180</v>
      </c>
      <c r="D14">
        <f t="shared" si="2"/>
        <v>560</v>
      </c>
      <c r="E14">
        <f t="shared" si="2"/>
        <v>800</v>
      </c>
      <c r="F14">
        <f t="shared" si="2"/>
        <v>600</v>
      </c>
      <c r="G14">
        <f t="shared" si="2"/>
        <v>550</v>
      </c>
      <c r="H14">
        <f t="shared" si="2"/>
        <v>1200</v>
      </c>
      <c r="I14">
        <f t="shared" si="2"/>
        <v>640</v>
      </c>
      <c r="J14">
        <f t="shared" si="2"/>
        <v>1575</v>
      </c>
      <c r="K14">
        <f t="shared" si="2"/>
        <v>1250</v>
      </c>
      <c r="L14" t="s">
        <v>10</v>
      </c>
      <c r="M14">
        <f>SUM(B14:K14)</f>
        <v>7705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8029-AB33-4626-A3AB-775E9281FB29}">
  <dimension ref="A1:G5"/>
  <sheetViews>
    <sheetView workbookViewId="0">
      <selection activeCell="D12" sqref="D12"/>
    </sheetView>
  </sheetViews>
  <sheetFormatPr defaultRowHeight="13.8" x14ac:dyDescent="0.25"/>
  <sheetData>
    <row r="1" spans="1:7" x14ac:dyDescent="0.25">
      <c r="A1">
        <v>44</v>
      </c>
      <c r="B1">
        <v>44</v>
      </c>
      <c r="C1">
        <v>44</v>
      </c>
      <c r="D1">
        <v>44</v>
      </c>
      <c r="E1">
        <v>44</v>
      </c>
      <c r="F1">
        <v>44</v>
      </c>
      <c r="G1">
        <v>44</v>
      </c>
    </row>
    <row r="2" spans="1:7" x14ac:dyDescent="0.25">
      <c r="A2">
        <v>44</v>
      </c>
      <c r="B2">
        <v>43</v>
      </c>
      <c r="C2">
        <v>44</v>
      </c>
      <c r="D2">
        <v>44</v>
      </c>
      <c r="E2">
        <v>44</v>
      </c>
      <c r="F2">
        <v>41</v>
      </c>
      <c r="G2">
        <v>35</v>
      </c>
    </row>
    <row r="3" spans="1:7" x14ac:dyDescent="0.25">
      <c r="A3">
        <f>A1-A2</f>
        <v>0</v>
      </c>
      <c r="B3">
        <f>B1-B2</f>
        <v>1</v>
      </c>
      <c r="C3">
        <f t="shared" ref="C3:G3" si="0">C1-C2</f>
        <v>0</v>
      </c>
      <c r="D3">
        <f t="shared" si="0"/>
        <v>0</v>
      </c>
      <c r="E3">
        <f t="shared" si="0"/>
        <v>0</v>
      </c>
      <c r="F3">
        <f t="shared" si="0"/>
        <v>3</v>
      </c>
      <c r="G3">
        <f t="shared" si="0"/>
        <v>9</v>
      </c>
    </row>
    <row r="4" spans="1:7" x14ac:dyDescent="0.25">
      <c r="A4" t="s">
        <v>7</v>
      </c>
      <c r="B4" t="s">
        <v>8</v>
      </c>
      <c r="C4" t="s">
        <v>9</v>
      </c>
    </row>
    <row r="5" spans="1:7" x14ac:dyDescent="0.25">
      <c r="A5">
        <f>7*44</f>
        <v>308</v>
      </c>
      <c r="B5">
        <f>SUM(A2:G2)</f>
        <v>295</v>
      </c>
      <c r="C5">
        <f>A5-B5</f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562C-5979-4B11-B614-57D103540808}">
  <dimension ref="A1:E9"/>
  <sheetViews>
    <sheetView tabSelected="1" workbookViewId="0">
      <selection sqref="A1:XFD1048576"/>
    </sheetView>
  </sheetViews>
  <sheetFormatPr defaultRowHeight="13.8" x14ac:dyDescent="0.25"/>
  <cols>
    <col min="1" max="1" width="16" customWidth="1"/>
  </cols>
  <sheetData>
    <row r="1" spans="1:5" x14ac:dyDescent="0.25">
      <c r="A1">
        <v>2.2000000000000002</v>
      </c>
      <c r="B1">
        <v>0.5</v>
      </c>
      <c r="C1">
        <v>0.6</v>
      </c>
      <c r="D1">
        <v>2.9</v>
      </c>
      <c r="E1">
        <v>2</v>
      </c>
    </row>
    <row r="2" spans="1:5" x14ac:dyDescent="0.25">
      <c r="A2">
        <f>A1^2</f>
        <v>4.8400000000000007</v>
      </c>
      <c r="B2">
        <f t="shared" ref="B2:E2" si="0">B1^2</f>
        <v>0.25</v>
      </c>
      <c r="C2">
        <f t="shared" si="0"/>
        <v>0.36</v>
      </c>
      <c r="D2">
        <f t="shared" si="0"/>
        <v>8.41</v>
      </c>
      <c r="E2">
        <f t="shared" si="0"/>
        <v>4</v>
      </c>
    </row>
    <row r="3" spans="1:5" x14ac:dyDescent="0.25">
      <c r="A3">
        <f>SQRT(SUM(A2:E2))</f>
        <v>4.2261093218230874</v>
      </c>
    </row>
    <row r="6" spans="1:5" x14ac:dyDescent="0.25">
      <c r="A6">
        <f>_xlfn.NORM.INV(0.99,108,4.266)</f>
        <v>117.92420003065823</v>
      </c>
      <c r="B6">
        <f>(A6-108)/4.226</f>
        <v>2.3483672576096137</v>
      </c>
    </row>
    <row r="9" spans="1:5" x14ac:dyDescent="0.25">
      <c r="A9">
        <f>_xlfn.NORM.DIST(A6,108, 4.226,TRUE)</f>
        <v>0.99057204053289316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</vt:lpstr>
      <vt:lpstr>3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2026-03-22T14:25:58Z</dcterms:created>
  <dcterms:modified xsi:type="dcterms:W3CDTF">2026-03-23T05:19:16Z</dcterms:modified>
</cp:coreProperties>
</file>