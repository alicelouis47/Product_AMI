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13_ncr:1_{364F6108-09F5-4A4B-AF7F-DEF7844987AC}" xr6:coauthVersionLast="47" xr6:coauthVersionMax="47" xr10:uidLastSave="{00000000-0000-0000-0000-000000000000}"/>
  <bookViews>
    <workbookView xWindow="11424" yWindow="0" windowWidth="11712" windowHeight="12336" activeTab="1" xr2:uid="{328CC3F7-C9C7-4135-8D97-6AF8CFE336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B2" i="2"/>
  <c r="G4" i="2"/>
  <c r="E9" i="2"/>
  <c r="C9" i="2"/>
  <c r="G2" i="2"/>
  <c r="F7" i="2"/>
  <c r="B6" i="2"/>
  <c r="C16" i="2" l="1"/>
  <c r="B8" i="2"/>
  <c r="D9" i="2"/>
  <c r="B9" i="2"/>
  <c r="C11" i="2" s="1"/>
  <c r="E16" i="2"/>
  <c r="B12" i="2" l="1"/>
  <c r="B16" i="2"/>
  <c r="B14" i="2"/>
  <c r="B18" i="2" s="1"/>
  <c r="D16" i="2"/>
  <c r="E11" i="2"/>
  <c r="E10" i="2"/>
  <c r="B10" i="2"/>
  <c r="B13" i="2"/>
  <c r="B17" i="2" s="1"/>
  <c r="B11" i="2"/>
  <c r="C10" i="2"/>
  <c r="D10" i="2"/>
  <c r="D11" i="2"/>
  <c r="B15" i="2" l="1"/>
  <c r="C5" i="2"/>
  <c r="F16" i="2"/>
  <c r="C12" i="2" l="1"/>
  <c r="C6" i="2"/>
  <c r="C14" i="2" l="1"/>
  <c r="C18" i="2" s="1"/>
  <c r="C13" i="2"/>
  <c r="C17" i="2" s="1"/>
  <c r="D5" i="2"/>
  <c r="C15" i="2"/>
  <c r="D6" i="2" l="1"/>
  <c r="D12" i="2"/>
  <c r="D15" i="2" l="1"/>
  <c r="E5" i="2"/>
  <c r="D14" i="2"/>
  <c r="D18" i="2" s="1"/>
  <c r="D13" i="2"/>
  <c r="D17" i="2" s="1"/>
  <c r="E6" i="2" l="1"/>
  <c r="E12" i="2"/>
  <c r="E15" i="2" s="1"/>
  <c r="F15" i="2" s="1"/>
  <c r="E14" i="2" l="1"/>
  <c r="E18" i="2" s="1"/>
  <c r="F18" i="2" s="1"/>
  <c r="E13" i="2"/>
  <c r="E17" i="2" s="1"/>
  <c r="F17" i="2" s="1"/>
  <c r="F19" i="2" s="1"/>
  <c r="F6" i="2"/>
  <c r="G12" i="1"/>
  <c r="H12" i="1"/>
  <c r="I12" i="1"/>
  <c r="F12" i="1"/>
  <c r="D11" i="1"/>
  <c r="D10" i="1"/>
  <c r="C14" i="1"/>
  <c r="C13" i="1"/>
  <c r="C6" i="1"/>
  <c r="D6" i="1"/>
  <c r="E6" i="1"/>
  <c r="B6" i="1"/>
  <c r="F4" i="1"/>
  <c r="F5" i="1"/>
  <c r="F3" i="1"/>
  <c r="F6" i="1" l="1"/>
  <c r="B7" i="1" s="1"/>
  <c r="B8" i="1" s="1"/>
  <c r="D13" i="1" s="1"/>
  <c r="C7" i="1" l="1"/>
  <c r="C8" i="1" s="1"/>
  <c r="D14" i="1" s="1"/>
  <c r="D7" i="1"/>
  <c r="D8" i="1" s="1"/>
  <c r="D15" i="1" s="1"/>
  <c r="E7" i="1"/>
  <c r="E8" i="1" s="1"/>
  <c r="D16" i="1" s="1"/>
</calcChain>
</file>

<file path=xl/sharedStrings.xml><?xml version="1.0" encoding="utf-8"?>
<sst xmlns="http://schemas.openxmlformats.org/spreadsheetml/2006/main" count="25" uniqueCount="24">
  <si>
    <t>sum</t>
  </si>
  <si>
    <t>S</t>
  </si>
  <si>
    <t>เดือน</t>
  </si>
  <si>
    <t>ม.ค.</t>
  </si>
  <si>
    <t>ก.พ.</t>
  </si>
  <si>
    <t>มี.ค.</t>
  </si>
  <si>
    <t>เม.ย.</t>
  </si>
  <si>
    <t>รวม</t>
  </si>
  <si>
    <t>Ft</t>
  </si>
  <si>
    <t>I_t-1</t>
  </si>
  <si>
    <t>d_t</t>
  </si>
  <si>
    <t>T_t</t>
  </si>
  <si>
    <t>แรงงาน</t>
  </si>
  <si>
    <t>W_t</t>
  </si>
  <si>
    <t>H_t</t>
  </si>
  <si>
    <t>L_t</t>
  </si>
  <si>
    <t>I_t</t>
  </si>
  <si>
    <t>OT</t>
  </si>
  <si>
    <t>ค่าแรง</t>
  </si>
  <si>
    <t>ค่าว่างงาน</t>
  </si>
  <si>
    <t>กำลังการผลิต</t>
  </si>
  <si>
    <t>ค่าเก็บของ</t>
  </si>
  <si>
    <t>ปรับ</t>
  </si>
  <si>
    <t>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</si>
</sst>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9DEF-BA2B-4A70-BBC0-DEE747A60ED2}">
  <dimension ref="A2:I16"/>
  <sheetViews>
    <sheetView workbookViewId="0">
      <selection activeCell="G18" sqref="G18"/>
    </sheetView>
  </sheetViews>
  <sheetFormatPr defaultRowHeight="13.8" x14ac:dyDescent="0.25"/>
  <sheetData>
    <row r="2" spans="1:9" x14ac:dyDescent="0.25">
      <c r="B2">
        <v>1</v>
      </c>
      <c r="C2">
        <v>2</v>
      </c>
      <c r="D2">
        <v>3</v>
      </c>
      <c r="E2">
        <v>4</v>
      </c>
      <c r="F2" t="s">
        <v>0</v>
      </c>
    </row>
    <row r="3" spans="1:9" x14ac:dyDescent="0.25">
      <c r="A3">
        <v>1</v>
      </c>
      <c r="B3">
        <v>43.16</v>
      </c>
      <c r="C3">
        <v>33.36</v>
      </c>
      <c r="D3">
        <v>18.760000000000002</v>
      </c>
      <c r="E3">
        <v>56.86</v>
      </c>
      <c r="F3">
        <f>SUM(B3:E3)</f>
        <v>152.13999999999999</v>
      </c>
      <c r="G3">
        <v>155.26</v>
      </c>
    </row>
    <row r="4" spans="1:9" x14ac:dyDescent="0.25">
      <c r="A4">
        <v>2</v>
      </c>
      <c r="B4">
        <v>55.2</v>
      </c>
      <c r="C4">
        <v>42.28</v>
      </c>
      <c r="D4">
        <v>30.62</v>
      </c>
      <c r="E4">
        <v>65.959999999999994</v>
      </c>
      <c r="F4">
        <f t="shared" ref="F4:F6" si="0">SUM(B4:E4)</f>
        <v>194.06</v>
      </c>
    </row>
    <row r="5" spans="1:9" x14ac:dyDescent="0.25">
      <c r="A5">
        <v>3</v>
      </c>
      <c r="B5">
        <v>56.09</v>
      </c>
      <c r="C5">
        <v>46.82</v>
      </c>
      <c r="D5">
        <v>38.76</v>
      </c>
      <c r="E5">
        <v>75.59</v>
      </c>
      <c r="F5">
        <f t="shared" si="0"/>
        <v>217.26</v>
      </c>
    </row>
    <row r="6" spans="1:9" x14ac:dyDescent="0.25">
      <c r="B6">
        <f>SUM(B3:B5)</f>
        <v>154.44999999999999</v>
      </c>
      <c r="C6">
        <f t="shared" ref="C6:E6" si="1">SUM(C3:C5)</f>
        <v>122.46000000000001</v>
      </c>
      <c r="D6">
        <f t="shared" si="1"/>
        <v>88.14</v>
      </c>
      <c r="E6">
        <f t="shared" si="1"/>
        <v>198.41</v>
      </c>
      <c r="F6">
        <f t="shared" si="0"/>
        <v>563.45999999999992</v>
      </c>
    </row>
    <row r="7" spans="1:9" x14ac:dyDescent="0.25">
      <c r="A7" t="s">
        <v>1</v>
      </c>
      <c r="B7">
        <f>B6/$F$6</f>
        <v>0.27410996344017324</v>
      </c>
      <c r="C7">
        <f t="shared" ref="C7:E7" si="2">C6/$F$6</f>
        <v>0.21733574699180069</v>
      </c>
      <c r="D7">
        <f t="shared" si="2"/>
        <v>0.15642636566925783</v>
      </c>
      <c r="E7">
        <f t="shared" si="2"/>
        <v>0.35212792389876835</v>
      </c>
    </row>
    <row r="8" spans="1:9" x14ac:dyDescent="0.25">
      <c r="B8">
        <f>B7*$G$3</f>
        <v>42.558312923721296</v>
      </c>
      <c r="C8">
        <f t="shared" ref="C8:E8" si="3">C7*$G$3</f>
        <v>33.743548077946976</v>
      </c>
      <c r="D8">
        <f t="shared" si="3"/>
        <v>24.28675753380897</v>
      </c>
      <c r="E8">
        <f t="shared" si="3"/>
        <v>54.671381464522767</v>
      </c>
    </row>
    <row r="10" spans="1:9" x14ac:dyDescent="0.25">
      <c r="B10">
        <v>122.7</v>
      </c>
      <c r="C10">
        <v>32.56</v>
      </c>
      <c r="D10">
        <f>B10+C10</f>
        <v>155.26</v>
      </c>
    </row>
    <row r="11" spans="1:9" x14ac:dyDescent="0.25">
      <c r="D11">
        <f>B10+(C10*4)</f>
        <v>252.94</v>
      </c>
      <c r="F11">
        <v>0.27410996344017324</v>
      </c>
      <c r="G11">
        <v>0.21733574699180069</v>
      </c>
      <c r="H11">
        <v>0.15642636566925783</v>
      </c>
      <c r="I11">
        <v>0.35212792389876835</v>
      </c>
    </row>
    <row r="12" spans="1:9" x14ac:dyDescent="0.25">
      <c r="F12">
        <f>$D$11*F11</f>
        <v>69.333374152557425</v>
      </c>
      <c r="G12">
        <f t="shared" ref="G12:I12" si="4">$D$11*G11</f>
        <v>54.972903844106064</v>
      </c>
      <c r="H12">
        <f t="shared" si="4"/>
        <v>39.566484932382075</v>
      </c>
      <c r="I12">
        <f t="shared" si="4"/>
        <v>89.067237070954462</v>
      </c>
    </row>
    <row r="13" spans="1:9" x14ac:dyDescent="0.25">
      <c r="B13">
        <v>1</v>
      </c>
      <c r="C13">
        <f>B3</f>
        <v>43.16</v>
      </c>
      <c r="D13">
        <f>B8</f>
        <v>42.558312923721296</v>
      </c>
    </row>
    <row r="14" spans="1:9" x14ac:dyDescent="0.25">
      <c r="B14">
        <v>2</v>
      </c>
      <c r="C14">
        <f>33.36</f>
        <v>33.36</v>
      </c>
      <c r="D14">
        <f>C8</f>
        <v>33.743548077946976</v>
      </c>
    </row>
    <row r="15" spans="1:9" x14ac:dyDescent="0.25">
      <c r="B15">
        <v>3</v>
      </c>
      <c r="C15">
        <v>18.760000000000002</v>
      </c>
      <c r="D15">
        <f>D8</f>
        <v>24.28675753380897</v>
      </c>
    </row>
    <row r="16" spans="1:9" x14ac:dyDescent="0.25">
      <c r="B16">
        <v>4</v>
      </c>
      <c r="C16">
        <v>56.86</v>
      </c>
      <c r="D16">
        <f>E8</f>
        <v>54.671381464522767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4F4C-A386-4DFB-AD2A-52AC58F863DB}">
  <dimension ref="A1:G19"/>
  <sheetViews>
    <sheetView tabSelected="1" workbookViewId="0">
      <selection activeCell="D22" sqref="D22"/>
    </sheetView>
  </sheetViews>
  <sheetFormatPr defaultRowHeight="13.8" x14ac:dyDescent="0.25"/>
  <cols>
    <col min="1" max="1" width="11" bestFit="1" customWidth="1"/>
    <col min="3" max="3" width="9.59765625" bestFit="1" customWidth="1"/>
    <col min="6" max="6" width="9.898437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7" x14ac:dyDescent="0.25">
      <c r="A2" t="s">
        <v>20</v>
      </c>
      <c r="B2">
        <f>23*B3</f>
        <v>1909</v>
      </c>
      <c r="C2">
        <f t="shared" ref="C2:E2" si="0">23*C3</f>
        <v>1656</v>
      </c>
      <c r="D2">
        <f t="shared" si="0"/>
        <v>1978</v>
      </c>
      <c r="E2">
        <f t="shared" si="0"/>
        <v>1840</v>
      </c>
      <c r="G2">
        <f>AVERAGE(B2:E2)</f>
        <v>1845.75</v>
      </c>
    </row>
    <row r="3" spans="1:7" x14ac:dyDescent="0.25">
      <c r="A3" t="s">
        <v>23</v>
      </c>
      <c r="B3">
        <v>83</v>
      </c>
      <c r="C3">
        <v>72</v>
      </c>
      <c r="D3">
        <v>86</v>
      </c>
      <c r="E3">
        <v>80</v>
      </c>
    </row>
    <row r="4" spans="1:7" x14ac:dyDescent="0.25">
      <c r="A4" t="s">
        <v>8</v>
      </c>
      <c r="B4">
        <v>1600</v>
      </c>
      <c r="C4">
        <v>1800</v>
      </c>
      <c r="D4">
        <v>2000</v>
      </c>
      <c r="E4">
        <v>1500</v>
      </c>
      <c r="G4">
        <f>AVERAGE(B4:E4)</f>
        <v>1725</v>
      </c>
    </row>
    <row r="5" spans="1:7" x14ac:dyDescent="0.25">
      <c r="A5" t="s">
        <v>9</v>
      </c>
      <c r="B5">
        <v>60</v>
      </c>
      <c r="C5">
        <f>B12</f>
        <v>305.75</v>
      </c>
      <c r="D5">
        <f>C12</f>
        <v>161.75</v>
      </c>
      <c r="E5">
        <f>D12</f>
        <v>7.5</v>
      </c>
    </row>
    <row r="6" spans="1:7" x14ac:dyDescent="0.25">
      <c r="A6" t="s">
        <v>10</v>
      </c>
      <c r="B6">
        <f>B4-B5</f>
        <v>1540</v>
      </c>
      <c r="C6">
        <f t="shared" ref="C6:E6" si="1">C4-C5</f>
        <v>1494.25</v>
      </c>
      <c r="D6">
        <f t="shared" si="1"/>
        <v>1838.25</v>
      </c>
      <c r="E6">
        <f t="shared" si="1"/>
        <v>1492.5</v>
      </c>
      <c r="F6">
        <f>SUM(B6:E6)</f>
        <v>6365</v>
      </c>
    </row>
    <row r="7" spans="1:7" x14ac:dyDescent="0.25">
      <c r="A7" t="s">
        <v>11</v>
      </c>
      <c r="B7">
        <v>22</v>
      </c>
      <c r="C7">
        <v>19</v>
      </c>
      <c r="D7">
        <v>21</v>
      </c>
      <c r="E7">
        <v>21</v>
      </c>
      <c r="F7">
        <f>SUM(B7:E7)</f>
        <v>83</v>
      </c>
    </row>
    <row r="8" spans="1:7" x14ac:dyDescent="0.25">
      <c r="A8" t="s">
        <v>12</v>
      </c>
      <c r="B8">
        <f>G2</f>
        <v>1845.75</v>
      </c>
    </row>
    <row r="9" spans="1:7" x14ac:dyDescent="0.25">
      <c r="A9" t="s">
        <v>13</v>
      </c>
      <c r="B9">
        <f>G2</f>
        <v>1845.75</v>
      </c>
      <c r="C9">
        <f>C2</f>
        <v>1656</v>
      </c>
      <c r="D9">
        <f>G2</f>
        <v>1845.75</v>
      </c>
      <c r="E9">
        <f>E2</f>
        <v>1840</v>
      </c>
    </row>
    <row r="10" spans="1:7" x14ac:dyDescent="0.25">
      <c r="A10" t="s">
        <v>14</v>
      </c>
      <c r="B10">
        <f>IF(B9&gt;$B$8, B9-$B$8, 0)</f>
        <v>0</v>
      </c>
      <c r="C10">
        <f>IF(C9&gt;B9, C9-B9, 0)</f>
        <v>0</v>
      </c>
      <c r="D10">
        <f t="shared" ref="D10:E10" si="2">IF(D9&gt;C9, D9-C9, 0)</f>
        <v>189.75</v>
      </c>
      <c r="E10">
        <f t="shared" si="2"/>
        <v>0</v>
      </c>
    </row>
    <row r="11" spans="1:7" x14ac:dyDescent="0.25">
      <c r="A11" t="s">
        <v>15</v>
      </c>
      <c r="B11">
        <f>IF(B9&lt;$B$8, ABS(B9-$B$8), 0)</f>
        <v>0</v>
      </c>
      <c r="C11">
        <f>IF(C9&lt;B9, ABS(C9-B9), 0)</f>
        <v>189.75</v>
      </c>
      <c r="D11">
        <f t="shared" ref="D11:E11" si="3">IF(D9&lt;C9, ABS(D9-C9), 0)</f>
        <v>0</v>
      </c>
      <c r="E11">
        <f t="shared" si="3"/>
        <v>5.75</v>
      </c>
    </row>
    <row r="12" spans="1:7" x14ac:dyDescent="0.25">
      <c r="A12" t="s">
        <v>16</v>
      </c>
      <c r="B12">
        <f>B9+B5-B4</f>
        <v>305.75</v>
      </c>
      <c r="C12">
        <f t="shared" ref="C12:E12" si="4">C9+C5-C4</f>
        <v>161.75</v>
      </c>
      <c r="D12">
        <f t="shared" si="4"/>
        <v>7.5</v>
      </c>
      <c r="E12">
        <f t="shared" si="4"/>
        <v>347.5</v>
      </c>
    </row>
    <row r="13" spans="1:7" x14ac:dyDescent="0.25">
      <c r="A13" t="s">
        <v>17</v>
      </c>
      <c r="B13">
        <f>IF(B9&gt;B6, 0, B6-B9)</f>
        <v>0</v>
      </c>
      <c r="C13">
        <f>IF(C9&gt;C6, 0, C6-C9)</f>
        <v>0</v>
      </c>
      <c r="D13">
        <f>IF(D9&gt;D6, 0, D6-D9)</f>
        <v>0</v>
      </c>
      <c r="E13">
        <f>IF(E9&gt;E6, 0, E6-E9)</f>
        <v>0</v>
      </c>
    </row>
    <row r="14" spans="1:7" x14ac:dyDescent="0.25">
      <c r="A14" t="s">
        <v>22</v>
      </c>
      <c r="B14">
        <f>IF(B$9&lt;B$6,(B6-B9),0)</f>
        <v>0</v>
      </c>
      <c r="C14">
        <f t="shared" ref="C14:E14" si="5">IF(C$9&lt;C$6,(C6-C9),0)</f>
        <v>0</v>
      </c>
      <c r="D14">
        <f t="shared" si="5"/>
        <v>0</v>
      </c>
      <c r="E14">
        <f t="shared" si="5"/>
        <v>0</v>
      </c>
    </row>
    <row r="15" spans="1:7" x14ac:dyDescent="0.25">
      <c r="A15" t="s">
        <v>21</v>
      </c>
      <c r="B15">
        <f>(B12*0.5)*1600</f>
        <v>244600</v>
      </c>
      <c r="C15">
        <f t="shared" ref="C15:E15" si="6">(C12*0.5)*1600</f>
        <v>129400</v>
      </c>
      <c r="D15">
        <f t="shared" si="6"/>
        <v>6000</v>
      </c>
      <c r="E15">
        <f t="shared" si="6"/>
        <v>278000</v>
      </c>
      <c r="F15">
        <f>SUM(B15:E15)</f>
        <v>658000</v>
      </c>
    </row>
    <row r="16" spans="1:7" x14ac:dyDescent="0.25">
      <c r="A16" t="s">
        <v>18</v>
      </c>
      <c r="B16">
        <f>B9*400</f>
        <v>738300</v>
      </c>
      <c r="C16">
        <f t="shared" ref="C16:E16" si="7">C9*400</f>
        <v>662400</v>
      </c>
      <c r="D16">
        <f t="shared" si="7"/>
        <v>738300</v>
      </c>
      <c r="E16">
        <f t="shared" si="7"/>
        <v>736000</v>
      </c>
      <c r="F16">
        <f>SUM(B16:E16)</f>
        <v>2875000</v>
      </c>
    </row>
    <row r="17" spans="1:6" x14ac:dyDescent="0.25">
      <c r="A17" t="s">
        <v>17</v>
      </c>
      <c r="B17">
        <f>B13*100*60</f>
        <v>0</v>
      </c>
      <c r="C17">
        <f t="shared" ref="C17:E17" si="8">C13*100*60</f>
        <v>0</v>
      </c>
      <c r="D17">
        <f t="shared" si="8"/>
        <v>0</v>
      </c>
      <c r="E17">
        <f t="shared" si="8"/>
        <v>0</v>
      </c>
      <c r="F17">
        <f t="shared" ref="F17:F18" si="9">SUM(B17:E17)</f>
        <v>0</v>
      </c>
    </row>
    <row r="18" spans="1:6" x14ac:dyDescent="0.25">
      <c r="A18" t="s">
        <v>19</v>
      </c>
      <c r="B18">
        <f>B14*30*100</f>
        <v>0</v>
      </c>
      <c r="C18">
        <f t="shared" ref="C18:E18" si="10">C14*30*100</f>
        <v>0</v>
      </c>
      <c r="D18">
        <f t="shared" si="10"/>
        <v>0</v>
      </c>
      <c r="E18">
        <f t="shared" si="10"/>
        <v>0</v>
      </c>
      <c r="F18">
        <f t="shared" si="9"/>
        <v>0</v>
      </c>
    </row>
    <row r="19" spans="1:6" x14ac:dyDescent="0.25">
      <c r="F19">
        <f>SUM(F15:F18)</f>
        <v>3533000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2026-01-20T11:37:00Z</dcterms:created>
  <dcterms:modified xsi:type="dcterms:W3CDTF">2026-01-20T16:04:52Z</dcterms:modified>
</cp:coreProperties>
</file>