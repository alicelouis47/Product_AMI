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duct_AMI\"/>
    </mc:Choice>
  </mc:AlternateContent>
  <xr:revisionPtr revIDLastSave="0" documentId="13_ncr:1_{D5C3FF3F-D92A-4F2E-B3FC-26110CED61B7}" xr6:coauthVersionLast="47" xr6:coauthVersionMax="47" xr10:uidLastSave="{00000000-0000-0000-0000-000000000000}"/>
  <bookViews>
    <workbookView xWindow="-96" yWindow="0" windowWidth="11712" windowHeight="12336" xr2:uid="{3E6D1783-A657-4040-8780-286ED815531D}"/>
  </bookViews>
  <sheets>
    <sheet name="Plan1" sheetId="1" r:id="rId1"/>
    <sheet name="Plan2" sheetId="2" r:id="rId2"/>
    <sheet name="Plan3" sheetId="3" r:id="rId3"/>
    <sheet name="Plan4" sheetId="4" r:id="rId4"/>
    <sheet name="EX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3" i="1"/>
  <c r="C13" i="1"/>
  <c r="D13" i="1"/>
  <c r="E13" i="1"/>
  <c r="B13" i="1"/>
  <c r="B4" i="1"/>
  <c r="B10" i="1" s="1"/>
  <c r="C4" i="1"/>
  <c r="C10" i="1" s="1"/>
  <c r="D4" i="1"/>
  <c r="D10" i="1" s="1"/>
  <c r="E4" i="1"/>
  <c r="G2" i="1"/>
  <c r="C7" i="1" s="1"/>
  <c r="C12" i="1" s="1"/>
  <c r="C16" i="1" s="1"/>
  <c r="C8" i="4"/>
  <c r="C13" i="4" s="1"/>
  <c r="D8" i="4"/>
  <c r="D13" i="4" s="1"/>
  <c r="E8" i="4"/>
  <c r="E13" i="4" s="1"/>
  <c r="F8" i="4"/>
  <c r="F13" i="4" s="1"/>
  <c r="G8" i="4"/>
  <c r="G13" i="4" s="1"/>
  <c r="B8" i="4"/>
  <c r="B13" i="4" s="1"/>
  <c r="G12" i="4"/>
  <c r="G17" i="4" s="1"/>
  <c r="F12" i="4"/>
  <c r="F17" i="4" s="1"/>
  <c r="E12" i="4"/>
  <c r="E17" i="4" s="1"/>
  <c r="D12" i="4"/>
  <c r="D17" i="4" s="1"/>
  <c r="C12" i="4"/>
  <c r="C17" i="4" s="1"/>
  <c r="B12" i="4"/>
  <c r="B17" i="4" s="1"/>
  <c r="G11" i="4"/>
  <c r="G16" i="4" s="1"/>
  <c r="F11" i="4"/>
  <c r="F16" i="4" s="1"/>
  <c r="E11" i="4"/>
  <c r="E16" i="4" s="1"/>
  <c r="D11" i="4"/>
  <c r="D16" i="4" s="1"/>
  <c r="C10" i="4"/>
  <c r="C15" i="4" s="1"/>
  <c r="B10" i="4"/>
  <c r="B15" i="4" s="1"/>
  <c r="H5" i="4"/>
  <c r="H4" i="4"/>
  <c r="C17" i="3"/>
  <c r="D17" i="3"/>
  <c r="E17" i="3"/>
  <c r="F17" i="3"/>
  <c r="H17" i="3" s="1"/>
  <c r="G17" i="3"/>
  <c r="B17" i="3"/>
  <c r="B9" i="3"/>
  <c r="H4" i="3"/>
  <c r="D11" i="3"/>
  <c r="D15" i="3" s="1"/>
  <c r="E11" i="3"/>
  <c r="E15" i="3" s="1"/>
  <c r="F11" i="3"/>
  <c r="F15" i="3" s="1"/>
  <c r="G11" i="3"/>
  <c r="G15" i="3" s="1"/>
  <c r="C11" i="3"/>
  <c r="C15" i="3" s="1"/>
  <c r="B11" i="3"/>
  <c r="B15" i="3" s="1"/>
  <c r="C10" i="3"/>
  <c r="C14" i="3" s="1"/>
  <c r="D10" i="3"/>
  <c r="D14" i="3" s="1"/>
  <c r="E10" i="3"/>
  <c r="E14" i="3" s="1"/>
  <c r="F10" i="3"/>
  <c r="F14" i="3" s="1"/>
  <c r="G10" i="3"/>
  <c r="G14" i="3" s="1"/>
  <c r="B10" i="3"/>
  <c r="B14" i="3" s="1"/>
  <c r="G8" i="3"/>
  <c r="G13" i="3" s="1"/>
  <c r="F8" i="3"/>
  <c r="F13" i="3" s="1"/>
  <c r="E8" i="3"/>
  <c r="E13" i="3" s="1"/>
  <c r="D8" i="3"/>
  <c r="D13" i="3" s="1"/>
  <c r="C8" i="3"/>
  <c r="C13" i="3" s="1"/>
  <c r="B8" i="3"/>
  <c r="B13" i="3" s="1"/>
  <c r="H5" i="3"/>
  <c r="C13" i="2"/>
  <c r="D13" i="2"/>
  <c r="E13" i="2"/>
  <c r="F13" i="2"/>
  <c r="G13" i="2"/>
  <c r="B13" i="2"/>
  <c r="B12" i="2"/>
  <c r="C12" i="2"/>
  <c r="D12" i="2"/>
  <c r="E12" i="2"/>
  <c r="F12" i="2"/>
  <c r="G12" i="2"/>
  <c r="C7" i="2"/>
  <c r="C11" i="2" s="1"/>
  <c r="D7" i="2"/>
  <c r="D11" i="2" s="1"/>
  <c r="E7" i="2"/>
  <c r="E11" i="2" s="1"/>
  <c r="F7" i="2"/>
  <c r="F11" i="2" s="1"/>
  <c r="G7" i="2"/>
  <c r="G11" i="2" s="1"/>
  <c r="B7" i="2"/>
  <c r="B10" i="2" s="1"/>
  <c r="H4" i="2"/>
  <c r="F5" i="1"/>
  <c r="C14" i="1" l="1"/>
  <c r="C11" i="1"/>
  <c r="C15" i="1" s="1"/>
  <c r="B7" i="1"/>
  <c r="B12" i="1" s="1"/>
  <c r="B16" i="1" s="1"/>
  <c r="E10" i="1"/>
  <c r="F4" i="1"/>
  <c r="E7" i="1"/>
  <c r="E12" i="1" s="1"/>
  <c r="E16" i="1" s="1"/>
  <c r="D7" i="1"/>
  <c r="D12" i="1" s="1"/>
  <c r="D16" i="1" s="1"/>
  <c r="B9" i="1"/>
  <c r="C8" i="1"/>
  <c r="C17" i="1" s="1"/>
  <c r="E8" i="1"/>
  <c r="E17" i="1" s="1"/>
  <c r="B9" i="4"/>
  <c r="B14" i="4" s="1"/>
  <c r="G9" i="4"/>
  <c r="G14" i="4" s="1"/>
  <c r="F9" i="4"/>
  <c r="F14" i="4" s="1"/>
  <c r="D9" i="4"/>
  <c r="D14" i="4" s="1"/>
  <c r="C9" i="4"/>
  <c r="C14" i="4" s="1"/>
  <c r="E9" i="4"/>
  <c r="E14" i="4" s="1"/>
  <c r="H8" i="4"/>
  <c r="H13" i="4"/>
  <c r="H17" i="4"/>
  <c r="D10" i="4"/>
  <c r="D15" i="4" s="1"/>
  <c r="F10" i="4"/>
  <c r="F15" i="4" s="1"/>
  <c r="B11" i="4"/>
  <c r="B16" i="4" s="1"/>
  <c r="G10" i="4"/>
  <c r="G15" i="4" s="1"/>
  <c r="C11" i="4"/>
  <c r="C16" i="4" s="1"/>
  <c r="E10" i="4"/>
  <c r="E15" i="4" s="1"/>
  <c r="G9" i="3"/>
  <c r="E9" i="3"/>
  <c r="D9" i="3"/>
  <c r="C9" i="3"/>
  <c r="H9" i="3" s="1"/>
  <c r="B12" i="3"/>
  <c r="H13" i="2"/>
  <c r="H12" i="2"/>
  <c r="B11" i="2"/>
  <c r="H11" i="2" s="1"/>
  <c r="B14" i="2"/>
  <c r="B15" i="2"/>
  <c r="H15" i="3"/>
  <c r="H14" i="3"/>
  <c r="C3" i="3"/>
  <c r="H13" i="3"/>
  <c r="H8" i="3"/>
  <c r="C3" i="2"/>
  <c r="C10" i="2" s="1"/>
  <c r="H7" i="2"/>
  <c r="D14" i="1" l="1"/>
  <c r="D11" i="1"/>
  <c r="D15" i="1" s="1"/>
  <c r="E14" i="1"/>
  <c r="E11" i="1"/>
  <c r="E15" i="1" s="1"/>
  <c r="B11" i="1"/>
  <c r="B15" i="1" s="1"/>
  <c r="B14" i="1"/>
  <c r="D8" i="1"/>
  <c r="D17" i="1" s="1"/>
  <c r="D9" i="1"/>
  <c r="B8" i="1"/>
  <c r="B17" i="1" s="1"/>
  <c r="F17" i="1" s="1"/>
  <c r="F14" i="1"/>
  <c r="E9" i="1"/>
  <c r="C9" i="1"/>
  <c r="H14" i="4"/>
  <c r="H9" i="4"/>
  <c r="H16" i="4"/>
  <c r="H15" i="4"/>
  <c r="H18" i="4" s="1"/>
  <c r="C12" i="3"/>
  <c r="B18" i="3"/>
  <c r="C14" i="2"/>
  <c r="C15" i="2"/>
  <c r="B16" i="3"/>
  <c r="D3" i="3"/>
  <c r="D12" i="3" s="1"/>
  <c r="C18" i="3"/>
  <c r="C16" i="3"/>
  <c r="D3" i="2"/>
  <c r="D10" i="2" s="1"/>
  <c r="F16" i="1" l="1"/>
  <c r="F15" i="1"/>
  <c r="D14" i="2"/>
  <c r="D15" i="2"/>
  <c r="E3" i="3"/>
  <c r="E12" i="3" s="1"/>
  <c r="D18" i="3"/>
  <c r="D16" i="3"/>
  <c r="E3" i="2"/>
  <c r="E10" i="2" l="1"/>
  <c r="F3" i="3"/>
  <c r="F12" i="3" s="1"/>
  <c r="E18" i="3"/>
  <c r="E16" i="3"/>
  <c r="E14" i="2" l="1"/>
  <c r="E15" i="2"/>
  <c r="F3" i="2"/>
  <c r="F10" i="2" s="1"/>
  <c r="G3" i="3"/>
  <c r="G12" i="3" s="1"/>
  <c r="F18" i="3"/>
  <c r="F16" i="3"/>
  <c r="F14" i="2" l="1"/>
  <c r="F15" i="2"/>
  <c r="G3" i="2"/>
  <c r="G10" i="2" s="1"/>
  <c r="G18" i="3"/>
  <c r="G16" i="3"/>
  <c r="H16" i="3" s="1"/>
  <c r="H18" i="3"/>
  <c r="G14" i="2" l="1"/>
  <c r="H14" i="2" s="1"/>
  <c r="G15" i="2"/>
  <c r="H15" i="2" s="1"/>
  <c r="H19" i="3"/>
  <c r="H16" i="2" l="1"/>
</calcChain>
</file>

<file path=xl/sharedStrings.xml><?xml version="1.0" encoding="utf-8"?>
<sst xmlns="http://schemas.openxmlformats.org/spreadsheetml/2006/main" count="93" uniqueCount="37">
  <si>
    <t>เดือน</t>
  </si>
  <si>
    <t>ม.ค.</t>
  </si>
  <si>
    <t>ก.พ.</t>
  </si>
  <si>
    <t>มี.ค.</t>
  </si>
  <si>
    <t>เม.ย.</t>
  </si>
  <si>
    <t>พ.ค.</t>
  </si>
  <si>
    <t>มิ.ย.</t>
  </si>
  <si>
    <t>รวม</t>
  </si>
  <si>
    <t>d_t</t>
  </si>
  <si>
    <t>T_t</t>
  </si>
  <si>
    <t>แรงงาน</t>
  </si>
  <si>
    <t>W_t</t>
  </si>
  <si>
    <t>H_t</t>
  </si>
  <si>
    <t>L_t</t>
  </si>
  <si>
    <t>I_t-1</t>
  </si>
  <si>
    <t>I_t</t>
  </si>
  <si>
    <t>ค่าแรง</t>
  </si>
  <si>
    <t>Ft</t>
  </si>
  <si>
    <t>แรงงานW0</t>
  </si>
  <si>
    <t>Wt</t>
  </si>
  <si>
    <t>Pt</t>
  </si>
  <si>
    <t>จ้างเพิ่ม</t>
  </si>
  <si>
    <t>ปลดออก</t>
  </si>
  <si>
    <t>RT_t</t>
  </si>
  <si>
    <t>ค่าจ้างเพิ่ม</t>
  </si>
  <si>
    <t>ค่าเก็บรักษาสินค้า</t>
  </si>
  <si>
    <t>ค่าปลดออก</t>
  </si>
  <si>
    <t>ค่าเก็บรักษา</t>
  </si>
  <si>
    <t>ค่าส่งไม่ทัน</t>
  </si>
  <si>
    <t>St</t>
  </si>
  <si>
    <t>ค่าจ้งผู้รับเหมา</t>
  </si>
  <si>
    <t>OT</t>
  </si>
  <si>
    <t>ค่าOT</t>
  </si>
  <si>
    <t>ค่าปรับ cap</t>
  </si>
  <si>
    <t>ว่างงาน</t>
  </si>
  <si>
    <t>ค่าว่างงาน</t>
  </si>
  <si>
    <t>ค่าของ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</si>
</sst>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4804-BD06-4C6C-BF26-5931CE160AEA}">
  <dimension ref="A1:G18"/>
  <sheetViews>
    <sheetView tabSelected="1" zoomScale="129" workbookViewId="0">
      <selection activeCell="B7" sqref="B7"/>
    </sheetView>
  </sheetViews>
  <sheetFormatPr defaultRowHeight="13.8" x14ac:dyDescent="0.25"/>
  <cols>
    <col min="3" max="3" width="9.59765625" bestFit="1" customWidth="1"/>
    <col min="6" max="6" width="9.8984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7" x14ac:dyDescent="0.25">
      <c r="A2" t="s">
        <v>17</v>
      </c>
      <c r="B2">
        <v>500</v>
      </c>
      <c r="C2">
        <v>900</v>
      </c>
      <c r="D2">
        <v>700</v>
      </c>
      <c r="E2">
        <v>300</v>
      </c>
      <c r="G2">
        <f>AVERAGE(B2:E2)</f>
        <v>600</v>
      </c>
    </row>
    <row r="3" spans="1:7" x14ac:dyDescent="0.25">
      <c r="A3" t="s">
        <v>14</v>
      </c>
      <c r="B3">
        <v>40</v>
      </c>
    </row>
    <row r="4" spans="1:7" x14ac:dyDescent="0.25">
      <c r="A4" t="s">
        <v>8</v>
      </c>
      <c r="B4">
        <f>B2-B3</f>
        <v>460</v>
      </c>
      <c r="C4">
        <f t="shared" ref="C4:E4" si="0">C2+C3</f>
        <v>900</v>
      </c>
      <c r="D4">
        <f t="shared" si="0"/>
        <v>700</v>
      </c>
      <c r="E4">
        <f t="shared" si="0"/>
        <v>300</v>
      </c>
      <c r="F4">
        <f>SUM(B4:E4)</f>
        <v>2360</v>
      </c>
    </row>
    <row r="5" spans="1:7" x14ac:dyDescent="0.25">
      <c r="A5" t="s">
        <v>9</v>
      </c>
      <c r="B5">
        <v>22</v>
      </c>
      <c r="C5">
        <v>19</v>
      </c>
      <c r="D5">
        <v>21</v>
      </c>
      <c r="E5">
        <v>21</v>
      </c>
      <c r="F5">
        <f>SUM(B5:E5)</f>
        <v>83</v>
      </c>
    </row>
    <row r="6" spans="1:7" x14ac:dyDescent="0.25">
      <c r="A6" t="s">
        <v>10</v>
      </c>
      <c r="B6">
        <v>500</v>
      </c>
    </row>
    <row r="7" spans="1:7" x14ac:dyDescent="0.25">
      <c r="A7" t="s">
        <v>11</v>
      </c>
      <c r="B7">
        <f>$G$2</f>
        <v>600</v>
      </c>
      <c r="C7">
        <f t="shared" ref="C7:E7" si="1">$G$2</f>
        <v>600</v>
      </c>
      <c r="D7">
        <f t="shared" si="1"/>
        <v>600</v>
      </c>
      <c r="E7">
        <f t="shared" si="1"/>
        <v>600</v>
      </c>
    </row>
    <row r="8" spans="1:7" x14ac:dyDescent="0.25">
      <c r="A8" t="s">
        <v>12</v>
      </c>
      <c r="B8">
        <f>IF(B7&gt;$B$6, B7-$B$6, 0)</f>
        <v>100</v>
      </c>
      <c r="C8">
        <f>IF(C7&gt;B7, C7-B7, 0)</f>
        <v>0</v>
      </c>
      <c r="D8">
        <f t="shared" ref="D8:E8" si="2">IF(D7&gt;C7, D7-C7, 0)</f>
        <v>0</v>
      </c>
      <c r="E8">
        <f t="shared" si="2"/>
        <v>0</v>
      </c>
    </row>
    <row r="9" spans="1:7" x14ac:dyDescent="0.25">
      <c r="A9" t="s">
        <v>13</v>
      </c>
      <c r="B9">
        <f>IF(B7&lt;$B$6, ABS(B7-$B$6), 0)</f>
        <v>0</v>
      </c>
      <c r="C9">
        <f>IF(C7&lt;B7, ABS(C7-B7), 0)</f>
        <v>0</v>
      </c>
      <c r="D9">
        <f t="shared" ref="D9:E9" si="3">IF(D7&lt;C7, ABS(D7-C7), 0)</f>
        <v>0</v>
      </c>
      <c r="E9">
        <f t="shared" si="3"/>
        <v>0</v>
      </c>
    </row>
    <row r="10" spans="1:7" x14ac:dyDescent="0.25">
      <c r="A10" t="s">
        <v>15</v>
      </c>
      <c r="B10">
        <f>B4+B3-B2</f>
        <v>0</v>
      </c>
      <c r="C10">
        <f t="shared" ref="C10:E10" si="4">C4+C3-C2</f>
        <v>0</v>
      </c>
      <c r="D10">
        <f t="shared" si="4"/>
        <v>0</v>
      </c>
      <c r="E10">
        <f t="shared" si="4"/>
        <v>0</v>
      </c>
    </row>
    <row r="11" spans="1:7" x14ac:dyDescent="0.25">
      <c r="A11" t="s">
        <v>31</v>
      </c>
      <c r="B11">
        <f>IF(B7&gt;B4, 0, B4-B7)</f>
        <v>0</v>
      </c>
      <c r="C11">
        <f>IF(C7&gt;C4, 0, C4-C7)</f>
        <v>300</v>
      </c>
      <c r="D11">
        <f>IF(D7&gt;D4, 0, D4-D7)</f>
        <v>100</v>
      </c>
      <c r="E11">
        <f>IF(E7&gt;E4, 0, E4-E7)</f>
        <v>0</v>
      </c>
    </row>
    <row r="12" spans="1:7" x14ac:dyDescent="0.25">
      <c r="A12" t="s">
        <v>34</v>
      </c>
      <c r="B12">
        <f>IF(B$7&gt;B$4,(B7-B4),0)</f>
        <v>140</v>
      </c>
      <c r="C12">
        <f t="shared" ref="C12:E12" si="5">IF(C$7&gt;C$4,(C7-C4),0)</f>
        <v>0</v>
      </c>
      <c r="D12">
        <f t="shared" si="5"/>
        <v>0</v>
      </c>
      <c r="E12">
        <f t="shared" si="5"/>
        <v>300</v>
      </c>
    </row>
    <row r="13" spans="1:7" x14ac:dyDescent="0.25">
      <c r="A13" t="s">
        <v>36</v>
      </c>
      <c r="B13">
        <f>(B3*0.5)*1600</f>
        <v>32000</v>
      </c>
      <c r="C13">
        <f t="shared" ref="C13:E13" si="6">(C3*0.5)*1600</f>
        <v>0</v>
      </c>
      <c r="D13">
        <f t="shared" si="6"/>
        <v>0</v>
      </c>
      <c r="E13">
        <f t="shared" si="6"/>
        <v>0</v>
      </c>
      <c r="F13">
        <f>SUM(B13:E13)</f>
        <v>32000</v>
      </c>
    </row>
    <row r="14" spans="1:7" x14ac:dyDescent="0.25">
      <c r="A14" t="s">
        <v>16</v>
      </c>
      <c r="B14">
        <f>IF(B$7&gt;B$4,B$4*40*100,B$7*40*100)</f>
        <v>1840000</v>
      </c>
      <c r="C14">
        <f t="shared" ref="C14:E14" si="7">IF(C$7&gt;C$4,C$4*40*100,C$7*40*100)</f>
        <v>2400000</v>
      </c>
      <c r="D14">
        <f t="shared" si="7"/>
        <v>2400000</v>
      </c>
      <c r="E14">
        <f t="shared" si="7"/>
        <v>1200000</v>
      </c>
      <c r="F14">
        <f>SUM(B14:E14)</f>
        <v>7840000</v>
      </c>
    </row>
    <row r="15" spans="1:7" x14ac:dyDescent="0.25">
      <c r="A15" t="s">
        <v>31</v>
      </c>
      <c r="B15">
        <f>B11*100*60</f>
        <v>0</v>
      </c>
      <c r="C15">
        <f t="shared" ref="C15:E15" si="8">C11*100*60</f>
        <v>1800000</v>
      </c>
      <c r="D15">
        <f t="shared" si="8"/>
        <v>600000</v>
      </c>
      <c r="E15">
        <f t="shared" si="8"/>
        <v>0</v>
      </c>
      <c r="F15">
        <f t="shared" ref="F15:F16" si="9">SUM(B15:E15)</f>
        <v>2400000</v>
      </c>
    </row>
    <row r="16" spans="1:7" x14ac:dyDescent="0.25">
      <c r="A16" t="s">
        <v>35</v>
      </c>
      <c r="B16">
        <f>B12*30*100</f>
        <v>420000</v>
      </c>
      <c r="C16">
        <f t="shared" ref="C16:E16" si="10">C12*30*100</f>
        <v>0</v>
      </c>
      <c r="D16">
        <f t="shared" si="10"/>
        <v>0</v>
      </c>
      <c r="E16">
        <f t="shared" si="10"/>
        <v>900000</v>
      </c>
      <c r="F16">
        <f t="shared" si="9"/>
        <v>1320000</v>
      </c>
    </row>
    <row r="17" spans="1:6" x14ac:dyDescent="0.25">
      <c r="A17" t="s">
        <v>33</v>
      </c>
      <c r="B17">
        <f>B8*1000</f>
        <v>100000</v>
      </c>
      <c r="C17">
        <f>C8*2000</f>
        <v>0</v>
      </c>
      <c r="D17">
        <f>D8*2000</f>
        <v>0</v>
      </c>
      <c r="E17">
        <f>E8*2000</f>
        <v>0</v>
      </c>
      <c r="F17">
        <f>SUM(B17:E17)</f>
        <v>100000</v>
      </c>
    </row>
    <row r="18" spans="1:6" x14ac:dyDescent="0.25">
      <c r="F18">
        <f>SUM(F13:F17)</f>
        <v>11692000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6AD6-0B3E-480F-BEC6-CA0ADCB5C28A}">
  <dimension ref="A1:H16"/>
  <sheetViews>
    <sheetView workbookViewId="0">
      <selection activeCell="B3" sqref="B3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17</v>
      </c>
      <c r="B2">
        <v>1800</v>
      </c>
      <c r="C2">
        <v>1500</v>
      </c>
      <c r="D2">
        <v>1100</v>
      </c>
      <c r="E2">
        <v>900</v>
      </c>
      <c r="F2">
        <v>1100</v>
      </c>
      <c r="G2">
        <v>1600</v>
      </c>
    </row>
    <row r="3" spans="1:8" x14ac:dyDescent="0.25">
      <c r="A3" t="s">
        <v>14</v>
      </c>
      <c r="B3">
        <v>400</v>
      </c>
      <c r="C3">
        <f>IF(B10&gt;0, B10, 0)</f>
        <v>25</v>
      </c>
      <c r="D3">
        <f>IF(C10&gt;0, C10, 0)</f>
        <v>0</v>
      </c>
      <c r="E3">
        <f>IF(D10&gt;0, D10, 0)</f>
        <v>16</v>
      </c>
      <c r="F3">
        <f>IF(E10&gt;0, E10, 0)</f>
        <v>476</v>
      </c>
      <c r="G3">
        <f>IF(F10&gt;0, F10, 0)</f>
        <v>801</v>
      </c>
    </row>
    <row r="4" spans="1:8" x14ac:dyDescent="0.25">
      <c r="A4" t="s">
        <v>9</v>
      </c>
      <c r="B4">
        <v>22</v>
      </c>
      <c r="C4">
        <v>19</v>
      </c>
      <c r="D4">
        <v>21</v>
      </c>
      <c r="E4">
        <v>21</v>
      </c>
      <c r="F4">
        <v>22</v>
      </c>
      <c r="G4">
        <v>20</v>
      </c>
      <c r="H4">
        <f>SUM(B4:G4)</f>
        <v>125</v>
      </c>
    </row>
    <row r="5" spans="1:8" x14ac:dyDescent="0.25">
      <c r="A5" t="s">
        <v>18</v>
      </c>
      <c r="B5">
        <v>45</v>
      </c>
    </row>
    <row r="6" spans="1:8" x14ac:dyDescent="0.25">
      <c r="A6" t="s">
        <v>19</v>
      </c>
      <c r="B6">
        <v>45</v>
      </c>
      <c r="C6">
        <v>45</v>
      </c>
      <c r="D6">
        <v>45</v>
      </c>
      <c r="E6">
        <v>45</v>
      </c>
      <c r="F6">
        <v>45</v>
      </c>
      <c r="G6">
        <v>45</v>
      </c>
    </row>
    <row r="7" spans="1:8" x14ac:dyDescent="0.25">
      <c r="A7" t="s">
        <v>20</v>
      </c>
      <c r="B7">
        <f>ROUNDDOWN(B6*8*B4*0.9/5,0)</f>
        <v>1425</v>
      </c>
      <c r="C7">
        <f t="shared" ref="C7:G7" si="0">ROUNDDOWN(C6*8*C4*0.9/5,0)</f>
        <v>1231</v>
      </c>
      <c r="D7">
        <f t="shared" si="0"/>
        <v>1360</v>
      </c>
      <c r="E7">
        <f t="shared" si="0"/>
        <v>1360</v>
      </c>
      <c r="F7">
        <f t="shared" si="0"/>
        <v>1425</v>
      </c>
      <c r="G7">
        <f t="shared" si="0"/>
        <v>1296</v>
      </c>
      <c r="H7">
        <f>SUM(B7:G7)</f>
        <v>8097</v>
      </c>
    </row>
    <row r="8" spans="1:8" x14ac:dyDescent="0.25">
      <c r="A8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8" x14ac:dyDescent="0.25">
      <c r="A9" t="s">
        <v>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8" x14ac:dyDescent="0.25">
      <c r="A10" t="s">
        <v>15</v>
      </c>
      <c r="B10">
        <f t="shared" ref="B10:G10" si="1">IF(A10&gt;0,B7+B3-B2,B7+B3-B2+A10)</f>
        <v>25</v>
      </c>
      <c r="C10">
        <f t="shared" si="1"/>
        <v>-244</v>
      </c>
      <c r="D10">
        <f t="shared" si="1"/>
        <v>16</v>
      </c>
      <c r="E10">
        <f t="shared" si="1"/>
        <v>476</v>
      </c>
      <c r="F10">
        <f t="shared" si="1"/>
        <v>801</v>
      </c>
      <c r="G10">
        <f t="shared" si="1"/>
        <v>497</v>
      </c>
    </row>
    <row r="11" spans="1:8" x14ac:dyDescent="0.25">
      <c r="A11" t="s">
        <v>23</v>
      </c>
      <c r="B11">
        <f t="shared" ref="B11:G11" si="2">B7*5*40</f>
        <v>285000</v>
      </c>
      <c r="C11">
        <f t="shared" si="2"/>
        <v>246200</v>
      </c>
      <c r="D11">
        <f t="shared" si="2"/>
        <v>272000</v>
      </c>
      <c r="E11">
        <f t="shared" si="2"/>
        <v>272000</v>
      </c>
      <c r="F11">
        <f t="shared" si="2"/>
        <v>285000</v>
      </c>
      <c r="G11">
        <f t="shared" si="2"/>
        <v>259200</v>
      </c>
      <c r="H11">
        <f>SUM(B11:G11)</f>
        <v>1619400</v>
      </c>
    </row>
    <row r="12" spans="1:8" x14ac:dyDescent="0.25">
      <c r="A12" t="s">
        <v>24</v>
      </c>
      <c r="B12">
        <f t="shared" ref="B12:G12" si="3">B8*2000</f>
        <v>0</v>
      </c>
      <c r="C12">
        <f t="shared" si="3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>SUM(B12:G12)</f>
        <v>0</v>
      </c>
    </row>
    <row r="13" spans="1:8" x14ac:dyDescent="0.25">
      <c r="A13" t="s">
        <v>26</v>
      </c>
      <c r="B13">
        <f t="shared" ref="B13:G13" si="4">B9*2500</f>
        <v>0</v>
      </c>
      <c r="C13">
        <f t="shared" si="4"/>
        <v>0</v>
      </c>
      <c r="D13">
        <f t="shared" si="4"/>
        <v>0</v>
      </c>
      <c r="E13">
        <f t="shared" si="4"/>
        <v>0</v>
      </c>
      <c r="F13">
        <f t="shared" si="4"/>
        <v>0</v>
      </c>
      <c r="G13">
        <f t="shared" si="4"/>
        <v>0</v>
      </c>
      <c r="H13">
        <f t="shared" ref="H13:H15" si="5">SUM(B13:G13)</f>
        <v>0</v>
      </c>
    </row>
    <row r="14" spans="1:8" x14ac:dyDescent="0.25">
      <c r="A14" t="s">
        <v>27</v>
      </c>
      <c r="B14">
        <f t="shared" ref="B14:G14" si="6">IF(B10&gt;0,(B10+B3)*(15/2),(B3*B3)*15/(2*(B3-B10)))</f>
        <v>3187.5</v>
      </c>
      <c r="C14">
        <f t="shared" si="6"/>
        <v>17.425650557620816</v>
      </c>
      <c r="D14">
        <f t="shared" si="6"/>
        <v>120</v>
      </c>
      <c r="E14">
        <f t="shared" si="6"/>
        <v>3690</v>
      </c>
      <c r="F14">
        <f t="shared" si="6"/>
        <v>9577.5</v>
      </c>
      <c r="G14">
        <f t="shared" si="6"/>
        <v>9735</v>
      </c>
      <c r="H14">
        <f t="shared" si="5"/>
        <v>26327.42565055762</v>
      </c>
    </row>
    <row r="15" spans="1:8" x14ac:dyDescent="0.25">
      <c r="A15" t="s">
        <v>28</v>
      </c>
      <c r="B15">
        <f>IF(B10&lt;0, B10*50,0)</f>
        <v>0</v>
      </c>
      <c r="C15">
        <f t="shared" ref="C15:G15" si="7">IF(C10&lt;0, C10*50,0)</f>
        <v>-12200</v>
      </c>
      <c r="D15">
        <f t="shared" si="7"/>
        <v>0</v>
      </c>
      <c r="E15">
        <f t="shared" si="7"/>
        <v>0</v>
      </c>
      <c r="F15">
        <f t="shared" si="7"/>
        <v>0</v>
      </c>
      <c r="G15">
        <f t="shared" si="7"/>
        <v>0</v>
      </c>
      <c r="H15">
        <f t="shared" si="5"/>
        <v>-12200</v>
      </c>
    </row>
    <row r="16" spans="1:8" x14ac:dyDescent="0.25">
      <c r="H16">
        <f>SUM(H11:H15)</f>
        <v>1633527.4256505575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4197-B93E-48D3-81D6-8F7F5DFC7FD7}">
  <dimension ref="A1:H19"/>
  <sheetViews>
    <sheetView workbookViewId="0">
      <selection activeCell="F10" sqref="F10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17</v>
      </c>
      <c r="B2">
        <v>1800</v>
      </c>
      <c r="C2">
        <v>1500</v>
      </c>
      <c r="D2">
        <v>1100</v>
      </c>
      <c r="E2">
        <v>900</v>
      </c>
      <c r="F2">
        <v>1100</v>
      </c>
      <c r="G2">
        <v>1600</v>
      </c>
    </row>
    <row r="3" spans="1:8" x14ac:dyDescent="0.25">
      <c r="A3" t="s">
        <v>14</v>
      </c>
      <c r="B3">
        <v>400</v>
      </c>
      <c r="C3">
        <f>IF(B12&gt;0, B12, 0)</f>
        <v>450</v>
      </c>
      <c r="D3">
        <f>IF(C12&gt;0, C12, 0)</f>
        <v>375</v>
      </c>
      <c r="E3">
        <f>IF(D12&gt;0, D12, 0)</f>
        <v>275</v>
      </c>
      <c r="F3">
        <f>IF(E12&gt;0, E12, 0)</f>
        <v>251</v>
      </c>
      <c r="G3">
        <f>IF(F12&gt;0, F12, 0)</f>
        <v>275</v>
      </c>
    </row>
    <row r="4" spans="1:8" x14ac:dyDescent="0.25">
      <c r="A4" t="s">
        <v>8</v>
      </c>
      <c r="B4">
        <v>1850</v>
      </c>
      <c r="C4">
        <v>1425</v>
      </c>
      <c r="D4">
        <v>1000</v>
      </c>
      <c r="E4">
        <v>850</v>
      </c>
      <c r="F4">
        <v>1150</v>
      </c>
      <c r="G4">
        <v>1725</v>
      </c>
      <c r="H4">
        <f>SUM(B4:G4)</f>
        <v>8000</v>
      </c>
    </row>
    <row r="5" spans="1:8" x14ac:dyDescent="0.25">
      <c r="A5" t="s">
        <v>9</v>
      </c>
      <c r="B5">
        <v>22</v>
      </c>
      <c r="C5">
        <v>19</v>
      </c>
      <c r="D5">
        <v>21</v>
      </c>
      <c r="E5">
        <v>21</v>
      </c>
      <c r="F5">
        <v>22</v>
      </c>
      <c r="G5">
        <v>20</v>
      </c>
      <c r="H5">
        <f>SUM(B5:G5)</f>
        <v>125</v>
      </c>
    </row>
    <row r="6" spans="1:8" x14ac:dyDescent="0.25">
      <c r="A6" t="s">
        <v>18</v>
      </c>
      <c r="B6">
        <v>45</v>
      </c>
    </row>
    <row r="7" spans="1:8" x14ac:dyDescent="0.25">
      <c r="A7" t="s">
        <v>19</v>
      </c>
      <c r="B7">
        <v>29</v>
      </c>
      <c r="C7">
        <v>29</v>
      </c>
      <c r="D7">
        <v>29</v>
      </c>
      <c r="E7">
        <v>29</v>
      </c>
      <c r="F7">
        <v>29</v>
      </c>
      <c r="G7">
        <v>29</v>
      </c>
    </row>
    <row r="8" spans="1:8" x14ac:dyDescent="0.25">
      <c r="A8" t="s">
        <v>20</v>
      </c>
      <c r="B8">
        <f t="shared" ref="B8:G8" si="0">ROUNDDOWN(B7*8*B5*0.9/5,0)</f>
        <v>918</v>
      </c>
      <c r="C8">
        <f t="shared" si="0"/>
        <v>793</v>
      </c>
      <c r="D8">
        <f t="shared" si="0"/>
        <v>876</v>
      </c>
      <c r="E8">
        <f t="shared" si="0"/>
        <v>876</v>
      </c>
      <c r="F8">
        <f t="shared" si="0"/>
        <v>918</v>
      </c>
      <c r="G8">
        <f t="shared" si="0"/>
        <v>835</v>
      </c>
      <c r="H8">
        <f>SUM(B8:G8)</f>
        <v>5216</v>
      </c>
    </row>
    <row r="9" spans="1:8" x14ac:dyDescent="0.25">
      <c r="A9" t="s">
        <v>29</v>
      </c>
      <c r="B9">
        <f>IF(B4&gt;B8, B4-B8,0)</f>
        <v>932</v>
      </c>
      <c r="C9">
        <f t="shared" ref="C9:G9" si="1">IF(C4&gt;C8, C4-C8,0)</f>
        <v>632</v>
      </c>
      <c r="D9">
        <f t="shared" si="1"/>
        <v>124</v>
      </c>
      <c r="E9">
        <f t="shared" si="1"/>
        <v>0</v>
      </c>
      <c r="F9">
        <v>206</v>
      </c>
      <c r="G9">
        <f t="shared" si="1"/>
        <v>890</v>
      </c>
      <c r="H9">
        <f>SUM(B9:G9)</f>
        <v>2784</v>
      </c>
    </row>
    <row r="10" spans="1:8" x14ac:dyDescent="0.25">
      <c r="A10" t="s">
        <v>21</v>
      </c>
      <c r="B10">
        <f>IF(B7&gt;$B$6, B7-$B$6, 0)</f>
        <v>0</v>
      </c>
      <c r="C10">
        <f t="shared" ref="C10:G10" si="2">IF(C7&gt;$B$6, C7-$B$6, 0)</f>
        <v>0</v>
      </c>
      <c r="D10">
        <f t="shared" si="2"/>
        <v>0</v>
      </c>
      <c r="E10">
        <f t="shared" si="2"/>
        <v>0</v>
      </c>
      <c r="F10">
        <f t="shared" si="2"/>
        <v>0</v>
      </c>
      <c r="G10">
        <f t="shared" si="2"/>
        <v>0</v>
      </c>
    </row>
    <row r="11" spans="1:8" x14ac:dyDescent="0.25">
      <c r="A11" t="s">
        <v>22</v>
      </c>
      <c r="B11">
        <f>IF(B7&lt;$B$6, ABS(B7-$B$6), 0)</f>
        <v>16</v>
      </c>
      <c r="C11">
        <f>IF(C7&lt;B7, ABS(C7-B7), 0)</f>
        <v>0</v>
      </c>
      <c r="D11">
        <f t="shared" ref="D11:G11" si="3">IF(D7&lt;C7, ABS(D7-C7), 0)</f>
        <v>0</v>
      </c>
      <c r="E11">
        <f t="shared" si="3"/>
        <v>0</v>
      </c>
      <c r="F11">
        <f t="shared" si="3"/>
        <v>0</v>
      </c>
      <c r="G11">
        <f t="shared" si="3"/>
        <v>0</v>
      </c>
    </row>
    <row r="12" spans="1:8" x14ac:dyDescent="0.25">
      <c r="A12" t="s">
        <v>15</v>
      </c>
      <c r="B12">
        <f>IF(A12&gt;0,B8+B9+B3-B2,B8+B9+B3-B2+A12)</f>
        <v>450</v>
      </c>
      <c r="C12">
        <f t="shared" ref="C12:G12" si="4">IF(B12&gt;0,C8+C9+C3-C2,C8+C9+C3-C2+B12)</f>
        <v>375</v>
      </c>
      <c r="D12">
        <f t="shared" si="4"/>
        <v>275</v>
      </c>
      <c r="E12">
        <f t="shared" si="4"/>
        <v>251</v>
      </c>
      <c r="F12">
        <f t="shared" si="4"/>
        <v>275</v>
      </c>
      <c r="G12">
        <f t="shared" si="4"/>
        <v>400</v>
      </c>
    </row>
    <row r="13" spans="1:8" x14ac:dyDescent="0.25">
      <c r="A13" t="s">
        <v>23</v>
      </c>
      <c r="B13">
        <f>B8*5*40</f>
        <v>183600</v>
      </c>
      <c r="C13">
        <f t="shared" ref="C13:G13" si="5">C8*5*40</f>
        <v>158600</v>
      </c>
      <c r="D13">
        <f t="shared" si="5"/>
        <v>175200</v>
      </c>
      <c r="E13">
        <f t="shared" si="5"/>
        <v>175200</v>
      </c>
      <c r="F13">
        <f t="shared" si="5"/>
        <v>183600</v>
      </c>
      <c r="G13">
        <f t="shared" si="5"/>
        <v>167000</v>
      </c>
      <c r="H13">
        <f>SUM(B13:G13)</f>
        <v>1043200</v>
      </c>
    </row>
    <row r="14" spans="1:8" x14ac:dyDescent="0.25">
      <c r="A14" t="s">
        <v>24</v>
      </c>
      <c r="B14">
        <f>B10*2000</f>
        <v>0</v>
      </c>
      <c r="C14">
        <f t="shared" ref="C14:G14" si="6">C10*2000</f>
        <v>0</v>
      </c>
      <c r="D14">
        <f t="shared" si="6"/>
        <v>0</v>
      </c>
      <c r="E14">
        <f t="shared" si="6"/>
        <v>0</v>
      </c>
      <c r="F14">
        <f t="shared" si="6"/>
        <v>0</v>
      </c>
      <c r="G14">
        <f t="shared" si="6"/>
        <v>0</v>
      </c>
      <c r="H14">
        <f>SUM(B14:G14)</f>
        <v>0</v>
      </c>
    </row>
    <row r="15" spans="1:8" x14ac:dyDescent="0.25">
      <c r="A15" t="s">
        <v>26</v>
      </c>
      <c r="B15">
        <f>B11*2500</f>
        <v>40000</v>
      </c>
      <c r="C15">
        <f t="shared" ref="C15:G15" si="7">C11*2500</f>
        <v>0</v>
      </c>
      <c r="D15">
        <f t="shared" si="7"/>
        <v>0</v>
      </c>
      <c r="E15">
        <f t="shared" si="7"/>
        <v>0</v>
      </c>
      <c r="F15">
        <f t="shared" si="7"/>
        <v>0</v>
      </c>
      <c r="G15">
        <f t="shared" si="7"/>
        <v>0</v>
      </c>
      <c r="H15">
        <f t="shared" ref="H15:H18" si="8">SUM(B15:G15)</f>
        <v>40000</v>
      </c>
    </row>
    <row r="16" spans="1:8" x14ac:dyDescent="0.25">
      <c r="A16" t="s">
        <v>27</v>
      </c>
      <c r="B16">
        <f t="shared" ref="B16:G16" si="9">IF(B12&gt;0,(B12+B3)*(15/2),(B3*B3)*15/(2*(B3-B12)))</f>
        <v>6375</v>
      </c>
      <c r="C16">
        <f t="shared" si="9"/>
        <v>6187.5</v>
      </c>
      <c r="D16">
        <f t="shared" si="9"/>
        <v>4875</v>
      </c>
      <c r="E16">
        <f t="shared" si="9"/>
        <v>3945</v>
      </c>
      <c r="F16">
        <f t="shared" si="9"/>
        <v>3945</v>
      </c>
      <c r="G16">
        <f t="shared" si="9"/>
        <v>5062.5</v>
      </c>
      <c r="H16">
        <f t="shared" si="8"/>
        <v>30390</v>
      </c>
    </row>
    <row r="17" spans="1:8" x14ac:dyDescent="0.25">
      <c r="A17" t="s">
        <v>30</v>
      </c>
      <c r="B17">
        <f>B9*5*80</f>
        <v>372800</v>
      </c>
      <c r="C17">
        <f t="shared" ref="C17:G17" si="10">C9*5*80</f>
        <v>252800</v>
      </c>
      <c r="D17">
        <f t="shared" si="10"/>
        <v>49600</v>
      </c>
      <c r="E17">
        <f t="shared" si="10"/>
        <v>0</v>
      </c>
      <c r="F17">
        <f t="shared" si="10"/>
        <v>82400</v>
      </c>
      <c r="G17">
        <f t="shared" si="10"/>
        <v>356000</v>
      </c>
      <c r="H17">
        <f t="shared" si="8"/>
        <v>1113600</v>
      </c>
    </row>
    <row r="18" spans="1:8" x14ac:dyDescent="0.25">
      <c r="A18" t="s">
        <v>28</v>
      </c>
      <c r="B18">
        <f>IF(B12&lt;0, B12*50,0)</f>
        <v>0</v>
      </c>
      <c r="C18">
        <f t="shared" ref="C18:G18" si="11">IF(C12&lt;0, C12*50,0)</f>
        <v>0</v>
      </c>
      <c r="D18">
        <f t="shared" si="11"/>
        <v>0</v>
      </c>
      <c r="E18">
        <f t="shared" si="11"/>
        <v>0</v>
      </c>
      <c r="F18">
        <f t="shared" si="11"/>
        <v>0</v>
      </c>
      <c r="G18">
        <f t="shared" si="11"/>
        <v>0</v>
      </c>
      <c r="H18">
        <f t="shared" si="8"/>
        <v>0</v>
      </c>
    </row>
    <row r="19" spans="1:8" x14ac:dyDescent="0.25">
      <c r="H19">
        <f>SUM(H13:H18)</f>
        <v>2227190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413C-A459-49D4-A4EE-F26E20C7E4A0}">
  <dimension ref="A1:H18"/>
  <sheetViews>
    <sheetView workbookViewId="0">
      <selection activeCell="F21" sqref="F21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17</v>
      </c>
      <c r="B2">
        <v>1800</v>
      </c>
      <c r="C2">
        <v>1500</v>
      </c>
      <c r="D2">
        <v>1100</v>
      </c>
      <c r="E2">
        <v>900</v>
      </c>
      <c r="F2">
        <v>1100</v>
      </c>
      <c r="G2">
        <v>1600</v>
      </c>
    </row>
    <row r="3" spans="1:8" x14ac:dyDescent="0.25">
      <c r="A3" t="s">
        <v>14</v>
      </c>
      <c r="B3">
        <v>400</v>
      </c>
      <c r="C3">
        <v>450</v>
      </c>
      <c r="D3">
        <v>375</v>
      </c>
      <c r="E3">
        <v>275</v>
      </c>
      <c r="F3">
        <v>225</v>
      </c>
      <c r="G3">
        <v>275</v>
      </c>
    </row>
    <row r="4" spans="1:8" x14ac:dyDescent="0.25">
      <c r="A4" t="s">
        <v>8</v>
      </c>
      <c r="B4">
        <v>1850</v>
      </c>
      <c r="C4">
        <v>1425</v>
      </c>
      <c r="D4">
        <v>1000</v>
      </c>
      <c r="E4">
        <v>850</v>
      </c>
      <c r="F4">
        <v>1150</v>
      </c>
      <c r="G4">
        <v>1725</v>
      </c>
      <c r="H4">
        <f>SUM(B4:G4)</f>
        <v>8000</v>
      </c>
    </row>
    <row r="5" spans="1:8" x14ac:dyDescent="0.25">
      <c r="A5" t="s">
        <v>9</v>
      </c>
      <c r="B5">
        <v>22</v>
      </c>
      <c r="C5">
        <v>19</v>
      </c>
      <c r="D5">
        <v>21</v>
      </c>
      <c r="E5">
        <v>21</v>
      </c>
      <c r="F5">
        <v>22</v>
      </c>
      <c r="G5">
        <v>20</v>
      </c>
      <c r="H5">
        <f>SUM(B5:G5)</f>
        <v>125</v>
      </c>
    </row>
    <row r="6" spans="1:8" x14ac:dyDescent="0.25">
      <c r="A6" t="s">
        <v>18</v>
      </c>
      <c r="B6">
        <v>45</v>
      </c>
    </row>
    <row r="7" spans="1:8" x14ac:dyDescent="0.25">
      <c r="A7" t="s">
        <v>19</v>
      </c>
      <c r="B7">
        <v>45</v>
      </c>
      <c r="C7">
        <v>45</v>
      </c>
      <c r="D7">
        <v>45</v>
      </c>
      <c r="E7">
        <v>45</v>
      </c>
      <c r="F7">
        <v>45</v>
      </c>
      <c r="G7">
        <v>45</v>
      </c>
    </row>
    <row r="8" spans="1:8" x14ac:dyDescent="0.25">
      <c r="A8" t="s">
        <v>20</v>
      </c>
      <c r="B8">
        <f t="shared" ref="B8:G8" si="0">IF(ROUNDDOWN(B7*8*B5*(0.9/5), 0)&gt;B4,B4,ROUNDDOWN(B7*8*B5*(0.9/5), 0))</f>
        <v>1425</v>
      </c>
      <c r="C8">
        <f t="shared" si="0"/>
        <v>1231</v>
      </c>
      <c r="D8">
        <f t="shared" si="0"/>
        <v>1000</v>
      </c>
      <c r="E8">
        <f t="shared" si="0"/>
        <v>850</v>
      </c>
      <c r="F8">
        <f t="shared" si="0"/>
        <v>1150</v>
      </c>
      <c r="G8">
        <f t="shared" si="0"/>
        <v>1296</v>
      </c>
      <c r="H8">
        <f>SUM(B8:G8)</f>
        <v>6952</v>
      </c>
    </row>
    <row r="9" spans="1:8" x14ac:dyDescent="0.25">
      <c r="A9" t="s">
        <v>31</v>
      </c>
      <c r="B9">
        <f>B4-B8</f>
        <v>425</v>
      </c>
      <c r="C9">
        <f t="shared" ref="C9:G9" si="1">C4-C8</f>
        <v>194</v>
      </c>
      <c r="D9">
        <f t="shared" si="1"/>
        <v>0</v>
      </c>
      <c r="E9">
        <f t="shared" si="1"/>
        <v>0</v>
      </c>
      <c r="F9">
        <f t="shared" si="1"/>
        <v>0</v>
      </c>
      <c r="G9">
        <f t="shared" si="1"/>
        <v>429</v>
      </c>
      <c r="H9">
        <f>SUM(B9:G9)</f>
        <v>1048</v>
      </c>
    </row>
    <row r="10" spans="1:8" x14ac:dyDescent="0.25">
      <c r="A10" t="s">
        <v>12</v>
      </c>
      <c r="B10">
        <f>IF(B7&gt;$B$6, B7-$B$6, 0)</f>
        <v>0</v>
      </c>
      <c r="C10">
        <f>IF(C7&gt;B7, C7-B7, 0)</f>
        <v>0</v>
      </c>
      <c r="D10">
        <f>IF(D7&gt;C7, D7-C7, 0)</f>
        <v>0</v>
      </c>
      <c r="E10">
        <f>IF(E7&gt;D7, E7-D7, 0)</f>
        <v>0</v>
      </c>
      <c r="F10">
        <f>IF(F7&gt;E7, F7-E7, 0)</f>
        <v>0</v>
      </c>
      <c r="G10">
        <f>IF(G7&gt;F7, G7-F7, 0)</f>
        <v>0</v>
      </c>
    </row>
    <row r="11" spans="1:8" x14ac:dyDescent="0.25">
      <c r="A11" t="s">
        <v>13</v>
      </c>
      <c r="B11">
        <f>IF(B7&lt;$B$6, ABS(B7-$B$6), 0)</f>
        <v>0</v>
      </c>
      <c r="C11">
        <f>IF(C7&lt;B7, ABS(C7-B7), 0)</f>
        <v>0</v>
      </c>
      <c r="D11">
        <f>IF(D7&lt;C7, ABS(D7-C7), 0)</f>
        <v>0</v>
      </c>
      <c r="E11">
        <f>IF(E7&lt;D7, ABS(E7-D7), 0)</f>
        <v>0</v>
      </c>
      <c r="F11">
        <f>IF(F7&lt;E7, ABS(F7-E7), 0)</f>
        <v>0</v>
      </c>
      <c r="G11">
        <f>IF(G7&lt;F7, ABS(G7-F7), 0)</f>
        <v>0</v>
      </c>
    </row>
    <row r="12" spans="1:8" x14ac:dyDescent="0.25">
      <c r="A12" t="s">
        <v>15</v>
      </c>
      <c r="B12">
        <f t="shared" ref="B12:G12" si="2">B4+B3-B2</f>
        <v>450</v>
      </c>
      <c r="C12">
        <f t="shared" si="2"/>
        <v>375</v>
      </c>
      <c r="D12">
        <f t="shared" si="2"/>
        <v>275</v>
      </c>
      <c r="E12">
        <f t="shared" si="2"/>
        <v>225</v>
      </c>
      <c r="F12">
        <f t="shared" si="2"/>
        <v>275</v>
      </c>
      <c r="G12">
        <f t="shared" si="2"/>
        <v>400</v>
      </c>
    </row>
    <row r="13" spans="1:8" x14ac:dyDescent="0.25">
      <c r="A13" t="s">
        <v>16</v>
      </c>
      <c r="B13">
        <f>B8*5*40</f>
        <v>285000</v>
      </c>
      <c r="C13">
        <f t="shared" ref="C13:G13" si="3">C8*5*40</f>
        <v>246200</v>
      </c>
      <c r="D13">
        <f t="shared" si="3"/>
        <v>200000</v>
      </c>
      <c r="E13">
        <f t="shared" si="3"/>
        <v>170000</v>
      </c>
      <c r="F13">
        <f t="shared" si="3"/>
        <v>230000</v>
      </c>
      <c r="G13">
        <f t="shared" si="3"/>
        <v>259200</v>
      </c>
      <c r="H13">
        <f>SUM(B13:G13)</f>
        <v>1390400</v>
      </c>
    </row>
    <row r="14" spans="1:8" x14ac:dyDescent="0.25">
      <c r="A14" t="s">
        <v>32</v>
      </c>
      <c r="B14">
        <f>B9*5*60</f>
        <v>127500</v>
      </c>
      <c r="C14">
        <f t="shared" ref="C14:G14" si="4">C9*5*60</f>
        <v>58200</v>
      </c>
      <c r="D14">
        <f t="shared" si="4"/>
        <v>0</v>
      </c>
      <c r="E14">
        <f t="shared" si="4"/>
        <v>0</v>
      </c>
      <c r="F14">
        <f t="shared" si="4"/>
        <v>0</v>
      </c>
      <c r="G14">
        <f t="shared" si="4"/>
        <v>128700</v>
      </c>
      <c r="H14">
        <f>SUM(B14:G14)</f>
        <v>314400</v>
      </c>
    </row>
    <row r="15" spans="1:8" x14ac:dyDescent="0.25">
      <c r="A15" t="s">
        <v>24</v>
      </c>
      <c r="B15">
        <f t="shared" ref="B15:G15" si="5">B10*2000</f>
        <v>0</v>
      </c>
      <c r="C15">
        <f t="shared" si="5"/>
        <v>0</v>
      </c>
      <c r="D15">
        <f t="shared" si="5"/>
        <v>0</v>
      </c>
      <c r="E15">
        <f t="shared" si="5"/>
        <v>0</v>
      </c>
      <c r="F15">
        <f t="shared" si="5"/>
        <v>0</v>
      </c>
      <c r="G15">
        <f t="shared" si="5"/>
        <v>0</v>
      </c>
      <c r="H15">
        <f t="shared" ref="H15:H17" si="6">SUM(B15:G15)</f>
        <v>0</v>
      </c>
    </row>
    <row r="16" spans="1:8" x14ac:dyDescent="0.25">
      <c r="A16" t="s">
        <v>22</v>
      </c>
      <c r="B16">
        <f>B11*2500</f>
        <v>0</v>
      </c>
      <c r="C16">
        <f t="shared" ref="C16:G16" si="7">C11*2500</f>
        <v>0</v>
      </c>
      <c r="D16">
        <f t="shared" si="7"/>
        <v>0</v>
      </c>
      <c r="E16">
        <f t="shared" si="7"/>
        <v>0</v>
      </c>
      <c r="F16">
        <f t="shared" si="7"/>
        <v>0</v>
      </c>
      <c r="G16">
        <f t="shared" si="7"/>
        <v>0</v>
      </c>
      <c r="H16">
        <f t="shared" si="6"/>
        <v>0</v>
      </c>
    </row>
    <row r="17" spans="1:8" x14ac:dyDescent="0.25">
      <c r="A17" t="s">
        <v>25</v>
      </c>
      <c r="B17">
        <f t="shared" ref="B17:G17" si="8">(B12+B3)*(15/2)</f>
        <v>6375</v>
      </c>
      <c r="C17">
        <f t="shared" si="8"/>
        <v>6187.5</v>
      </c>
      <c r="D17">
        <f t="shared" si="8"/>
        <v>4875</v>
      </c>
      <c r="E17">
        <f t="shared" si="8"/>
        <v>3750</v>
      </c>
      <c r="F17">
        <f t="shared" si="8"/>
        <v>3750</v>
      </c>
      <c r="G17">
        <f t="shared" si="8"/>
        <v>5062.5</v>
      </c>
      <c r="H17">
        <f t="shared" si="6"/>
        <v>30000</v>
      </c>
    </row>
    <row r="18" spans="1:8" x14ac:dyDescent="0.25">
      <c r="H18">
        <f>SUM(H13:H17)</f>
        <v>1734800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9655-EC71-4C4C-808B-2045FF63058F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Plan1</vt:lpstr>
      <vt:lpstr>Plan2</vt:lpstr>
      <vt:lpstr>Plan3</vt:lpstr>
      <vt:lpstr>Plan4</vt:lpstr>
      <vt:lpstr>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Phakkhaphon Artburai</dc:creator>
  <cp:lastModifiedBy>Phakkhaphon Artburai</cp:lastModifiedBy>
  <dcterms:created xsi:type="dcterms:W3CDTF">2025-12-22T06:25:30Z</dcterms:created>
  <dcterms:modified xsi:type="dcterms:W3CDTF">2026-01-20T16:04:58Z</dcterms:modified>
</cp:coreProperties>
</file>